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参数设置" sheetId="2" state="visible" r:id="rId2"/>
    <sheet xmlns:r="http://schemas.openxmlformats.org/officeDocument/2006/relationships" name="员工档案" sheetId="3" state="visible" r:id="rId3"/>
    <sheet xmlns:r="http://schemas.openxmlformats.org/officeDocument/2006/relationships" name="考勤录入" sheetId="4" state="visible" r:id="rId4"/>
    <sheet xmlns:r="http://schemas.openxmlformats.org/officeDocument/2006/relationships" name="工资汇总" sheetId="5" state="visible" r:id="rId5"/>
  </sheets>
  <definedNames>
    <definedName name="_xlnm._FilterDatabase" localSheetId="2" hidden="1">'员工档案'!$A$1:$G$40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4">
    <font>
      <name val="Calibri"/>
      <family val="2"/>
      <color theme="1"/>
      <sz val="11"/>
      <scheme val="minor"/>
    </font>
    <font>
      <name val="微软雅黑"/>
      <b val="1"/>
      <color rgb="001F4E5F"/>
      <sz val="20"/>
    </font>
    <font>
      <name val="微软雅黑"/>
      <color rgb="00666666"/>
      <sz val="11"/>
    </font>
    <font>
      <name val="微软雅黑"/>
      <b val="1"/>
      <color rgb="002E8B8B"/>
      <sz val="12"/>
    </font>
    <font>
      <name val="微软雅黑"/>
      <sz val="10"/>
    </font>
    <font>
      <name val="微软雅黑"/>
      <b val="1"/>
      <color rgb="001F4E5F"/>
      <sz val="12"/>
    </font>
    <font>
      <name val="微软雅黑"/>
      <b val="1"/>
      <color rgb="001F4E5F"/>
      <sz val="16"/>
    </font>
    <font>
      <name val="微软雅黑"/>
      <color rgb="00888888"/>
      <sz val="10"/>
    </font>
    <font>
      <name val="微软雅黑"/>
      <b val="1"/>
      <sz val="10"/>
    </font>
    <font>
      <name val="微软雅黑"/>
      <b val="1"/>
      <color rgb="00C00000"/>
      <sz val="11"/>
    </font>
    <font>
      <name val="微软雅黑"/>
      <color rgb="00777777"/>
      <sz val="9"/>
    </font>
    <font>
      <name val="微软雅黑"/>
      <b val="1"/>
      <color rgb="00FFFFFF"/>
      <sz val="10"/>
    </font>
    <font>
      <name val="微软雅黑"/>
      <b val="1"/>
      <color rgb="00FFFFFF"/>
      <sz val="11"/>
    </font>
    <font>
      <name val="微软雅黑"/>
      <color rgb="00C00000"/>
      <sz val="9"/>
    </font>
  </fonts>
  <fills count="8">
    <fill>
      <patternFill/>
    </fill>
    <fill>
      <patternFill patternType="gray125"/>
    </fill>
    <fill>
      <patternFill patternType="solid">
        <fgColor rgb="00E8F4F4"/>
      </patternFill>
    </fill>
    <fill>
      <patternFill patternType="solid">
        <fgColor rgb="001F4E5F"/>
      </patternFill>
    </fill>
    <fill>
      <patternFill patternType="solid">
        <fgColor rgb="00FFFFFF"/>
      </patternFill>
    </fill>
    <fill>
      <patternFill patternType="solid">
        <fgColor rgb="00FAFAFA"/>
      </patternFill>
    </fill>
    <fill>
      <patternFill patternType="solid">
        <fgColor rgb="002E8B8B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2" borderId="1" pivotButton="0" quotePrefix="0" xfId="0"/>
    <xf numFmtId="0" fontId="9" fillId="0" borderId="1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 wrapText="1"/>
    </xf>
    <xf numFmtId="0" fontId="11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/>
    </xf>
    <xf numFmtId="164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/>
    </xf>
    <xf numFmtId="164" fontId="4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11" fillId="3" borderId="1" applyAlignment="1" pivotButton="0" quotePrefix="0" xfId="0">
      <alignment horizontal="center" vertical="center" wrapText="1"/>
    </xf>
    <xf numFmtId="4" fontId="4" fillId="4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4" fontId="4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0" fillId="6" borderId="1" pivotButton="0" quotePrefix="0" xfId="0"/>
    <xf numFmtId="4" fontId="12" fillId="6" borderId="1" applyAlignment="1" pivotButton="0" quotePrefix="0" xfId="0">
      <alignment horizontal="center" vertical="center"/>
    </xf>
    <xf numFmtId="0" fontId="13" fillId="0" borderId="0" pivotButton="0" quotePrefix="0" xfId="0"/>
  </cellXfs>
  <cellStyles count="1">
    <cellStyle name="Normal" xfId="0" builtinId="0" hidden="0"/>
  </cellStyles>
  <dxfs count="6">
    <dxf>
      <fill>
        <patternFill patternType="solid">
          <fgColor rgb="00C6EFCE"/>
        </patternFill>
      </fill>
    </dxf>
    <dxf>
      <fill>
        <patternFill patternType="solid">
          <fgColor rgb="00EDEDED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D9CC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DDEBF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 ht="38" customHeight="1">
      <c r="B2" s="1" t="inlineStr">
        <is>
          <t>考勤排班 + 工资自动核算表</t>
        </is>
      </c>
    </row>
    <row r="3">
      <c r="B3" s="2" t="inlineStr">
        <is>
          <t>适合：门店 / 小公司 / 工作室（员工 1-30 人）</t>
        </is>
      </c>
    </row>
    <row r="5">
      <c r="B5" s="3" t="inlineStr">
        <is>
          <t>① 先填「参数设置」</t>
        </is>
      </c>
    </row>
    <row r="6" ht="34" customHeight="1">
      <c r="B6" s="4" t="inlineStr">
        <is>
          <t>把你们公司的计薪规则填进去：月计薪天数、加班倍率、各种假扣款系数、满勤奖金额。改一次，全年通用。</t>
        </is>
      </c>
    </row>
    <row r="8">
      <c r="B8" s="3" t="inlineStr">
        <is>
          <t>② 再填「员工档案」</t>
        </is>
      </c>
    </row>
    <row r="9" ht="34" customHeight="1">
      <c r="B9" s="4" t="inlineStr">
        <is>
          <t>工号、姓名、部门、岗位、月薪。月薪是下面所有计算的基础，务必核对。</t>
        </is>
      </c>
    </row>
    <row r="11">
      <c r="B11" s="3" t="inlineStr">
        <is>
          <t>③ 每月填「考勤录入」</t>
        </is>
      </c>
    </row>
    <row r="12" ht="34" customHeight="1">
      <c r="B12" s="4" t="inlineStr">
        <is>
          <t>每人一行，1 号到 31 号每天一格，点格子里右侧小箭头选状态即可（出勤/休息/事假/病假/旷工/加班）。整月只需选，不用打字。</t>
        </is>
      </c>
    </row>
    <row r="14">
      <c r="B14" s="3" t="inlineStr">
        <is>
          <t>④ 「工资汇总」自动出结果</t>
        </is>
      </c>
    </row>
    <row r="15" ht="34" customHeight="1">
      <c r="B15" s="4" t="inlineStr">
        <is>
          <t>出勤天数、各类假、缺勤扣款、加班费、满勤奖、应发工资全部自动算，不需要手算。黄色格子是唯一需要手填的：本月加班小时数。</t>
        </is>
      </c>
    </row>
    <row r="17">
      <c r="B17" s="3" t="inlineStr">
        <is>
          <t>⑤ 打印 / 发工资条</t>
        </is>
      </c>
    </row>
    <row r="18" ht="34" customHeight="1">
      <c r="B18" s="4" t="inlineStr">
        <is>
          <t>选中「工资汇总」直接打印 A4 横向；或复制某一行单独发给员工做工资条。</t>
        </is>
      </c>
    </row>
    <row r="21">
      <c r="B21" s="5" t="inlineStr">
        <is>
          <t>常见问题</t>
        </is>
      </c>
    </row>
    <row r="22" ht="30" customHeight="1">
      <c r="B22" s="4" t="inlineStr">
        <is>
          <t>Q：月底有新员工入职怎么办？   A：在「员工档案」加一行，考勤表对应的行也照抄一个新行即可，汇总页公式会自动带上。</t>
        </is>
      </c>
    </row>
    <row r="23" ht="30" customHeight="1">
      <c r="B23" s="4" t="inlineStr">
        <is>
          <t>Q：加班按天还是按小时？   A：考勤表里「加班」只做标记，真正算钱的是汇总页的「加班小时」列（黄色格），如实填小时数。</t>
        </is>
      </c>
    </row>
    <row r="24" ht="30" customHeight="1">
      <c r="B24" s="4" t="inlineStr">
        <is>
          <t>Q：病假工资怎么算？   A：在「参数设置」里把「病假扣款系数」设成 0.4，表示病假只发 60%。各地标准不同，按当地规定填。</t>
        </is>
      </c>
    </row>
    <row r="25" ht="30" customHeight="1">
      <c r="B25" s="4" t="inlineStr">
        <is>
          <t>Q：公式被删了导致算错？   A：重新解压一份原始文件覆盖即可，别在汇总页手动改公式。</t>
        </is>
      </c>
    </row>
  </sheetData>
  <mergeCells count="1">
    <mergeCell ref="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D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4" customWidth="1" min="3" max="3"/>
    <col width="46" customWidth="1" min="4" max="4"/>
  </cols>
  <sheetData>
    <row r="2">
      <c r="B2" s="6" t="inlineStr">
        <is>
          <t>参数设置</t>
        </is>
      </c>
    </row>
    <row r="3">
      <c r="B3" s="7" t="inlineStr">
        <is>
          <t>改这里的值，全表自动重算</t>
        </is>
      </c>
    </row>
    <row r="5" ht="26" customHeight="1">
      <c r="B5" s="8" t="inlineStr">
        <is>
          <t>月计薪天数</t>
        </is>
      </c>
      <c r="C5" s="9" t="n">
        <v>21.75</v>
      </c>
      <c r="D5" s="10" t="inlineStr">
        <is>
          <t>国家标准 21.75 天/月；门店按实际出勤算可改成 26 或当月应出勤天数</t>
        </is>
      </c>
    </row>
    <row r="6" ht="26" customHeight="1">
      <c r="B6" s="8" t="inlineStr">
        <is>
          <t>加班倍率（工作日）</t>
        </is>
      </c>
      <c r="C6" s="9" t="n">
        <v>1.5</v>
      </c>
      <c r="D6" s="10" t="inlineStr">
        <is>
          <t>平时加班 1.5 倍，周末 2 倍，法定节假日 3 倍，按实际情况填</t>
        </is>
      </c>
    </row>
    <row r="7" ht="26" customHeight="1">
      <c r="B7" s="8" t="inlineStr">
        <is>
          <t>事假扣款系数</t>
        </is>
      </c>
      <c r="C7" s="9" t="n">
        <v>1</v>
      </c>
      <c r="D7" s="10" t="inlineStr">
        <is>
          <t>事假当天不发工资（1.0 = 全额扣）；宽松的可以填 0.5</t>
        </is>
      </c>
    </row>
    <row r="8" ht="26" customHeight="1">
      <c r="B8" s="8" t="inlineStr">
        <is>
          <t>病假扣款系数</t>
        </is>
      </c>
      <c r="C8" s="9" t="n">
        <v>0.4</v>
      </c>
      <c r="D8" s="10" t="inlineStr">
        <is>
          <t>0.4 = 病假当天只扣 40%、发 60%；按当地最低标准调整</t>
        </is>
      </c>
    </row>
    <row r="9" ht="26" customHeight="1">
      <c r="B9" s="8" t="inlineStr">
        <is>
          <t>旷工扣款系数</t>
        </is>
      </c>
      <c r="C9" s="9" t="n">
        <v>2</v>
      </c>
      <c r="D9" s="10" t="inlineStr">
        <is>
          <t>2.0 = 旷工一天扣两天工资，公司制度可自行调整</t>
        </is>
      </c>
    </row>
    <row r="10" ht="26" customHeight="1">
      <c r="B10" s="8" t="inlineStr">
        <is>
          <t>满勤奖（元/月）</t>
        </is>
      </c>
      <c r="C10" s="9" t="n">
        <v>200</v>
      </c>
      <c r="D10" s="10" t="inlineStr">
        <is>
          <t>当月无任何假、无旷工才发；不想设就填 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6" customWidth="1" min="4" max="4"/>
    <col width="12" customWidth="1" min="5" max="5"/>
    <col width="13" customWidth="1" min="6" max="6"/>
    <col width="22" customWidth="1" min="7" max="7"/>
  </cols>
  <sheetData>
    <row r="1" ht="26" customHeight="1">
      <c r="A1" s="11" t="inlineStr">
        <is>
          <t>工号</t>
        </is>
      </c>
      <c r="B1" s="11" t="inlineStr">
        <is>
          <t>姓名</t>
        </is>
      </c>
      <c r="C1" s="11" t="inlineStr">
        <is>
          <t>部门</t>
        </is>
      </c>
      <c r="D1" s="11" t="inlineStr">
        <is>
          <t>岗位</t>
        </is>
      </c>
      <c r="E1" s="11" t="inlineStr">
        <is>
          <t>月薪(元)</t>
        </is>
      </c>
      <c r="F1" s="11" t="inlineStr">
        <is>
          <t>入职日期</t>
        </is>
      </c>
      <c r="G1" s="11" t="inlineStr">
        <is>
          <t>备注</t>
        </is>
      </c>
    </row>
    <row r="2">
      <c r="A2" s="12" t="inlineStr">
        <is>
          <t>A001</t>
        </is>
      </c>
      <c r="B2" s="12" t="inlineStr">
        <is>
          <t>张三</t>
        </is>
      </c>
      <c r="C2" s="12" t="inlineStr">
        <is>
          <t>门店</t>
        </is>
      </c>
      <c r="D2" s="13" t="inlineStr">
        <is>
          <t>店长</t>
        </is>
      </c>
      <c r="E2" s="12" t="n">
        <v>8000</v>
      </c>
      <c r="F2" s="14" t="inlineStr">
        <is>
          <t>2023-03-01</t>
        </is>
      </c>
      <c r="G2" s="12" t="inlineStr"/>
    </row>
    <row r="3">
      <c r="A3" s="15" t="inlineStr">
        <is>
          <t>A002</t>
        </is>
      </c>
      <c r="B3" s="15" t="inlineStr">
        <is>
          <t>李四</t>
        </is>
      </c>
      <c r="C3" s="15" t="inlineStr">
        <is>
          <t>门店</t>
        </is>
      </c>
      <c r="D3" s="16" t="inlineStr">
        <is>
          <t>店员</t>
        </is>
      </c>
      <c r="E3" s="15" t="n">
        <v>5500</v>
      </c>
      <c r="F3" s="17" t="inlineStr">
        <is>
          <t>2024-06-15</t>
        </is>
      </c>
      <c r="G3" s="15" t="inlineStr"/>
    </row>
    <row r="4">
      <c r="A4" s="12" t="inlineStr">
        <is>
          <t>A003</t>
        </is>
      </c>
      <c r="B4" s="12" t="inlineStr">
        <is>
          <t>王五</t>
        </is>
      </c>
      <c r="C4" s="12" t="inlineStr">
        <is>
          <t>后厨</t>
        </is>
      </c>
      <c r="D4" s="13" t="inlineStr">
        <is>
          <t>厨工</t>
        </is>
      </c>
      <c r="E4" s="12" t="n">
        <v>4800</v>
      </c>
      <c r="F4" s="14" t="inlineStr">
        <is>
          <t>2025-01-10</t>
        </is>
      </c>
      <c r="G4" s="12" t="inlineStr"/>
    </row>
    <row r="5">
      <c r="A5" s="15" t="inlineStr">
        <is>
          <t>A004</t>
        </is>
      </c>
      <c r="B5" s="15" t="inlineStr">
        <is>
          <t>赵六</t>
        </is>
      </c>
      <c r="C5" s="15" t="inlineStr">
        <is>
          <t>门店</t>
        </is>
      </c>
      <c r="D5" s="16" t="inlineStr">
        <is>
          <t>兼职</t>
        </is>
      </c>
      <c r="E5" s="15" t="n">
        <v>2600</v>
      </c>
      <c r="F5" s="17" t="inlineStr">
        <is>
          <t>2025-09-01</t>
        </is>
      </c>
      <c r="G5" s="15" t="inlineStr">
        <is>
          <t>按小时可另算</t>
        </is>
      </c>
    </row>
  </sheetData>
  <autoFilter ref="A1:G4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32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4.6" customWidth="1" min="4" max="4"/>
    <col width="4.6" customWidth="1" min="5" max="5"/>
    <col width="4.6" customWidth="1" min="6" max="6"/>
    <col width="4.6" customWidth="1" min="7" max="7"/>
    <col width="4.6" customWidth="1" min="8" max="8"/>
    <col width="4.6" customWidth="1" min="9" max="9"/>
    <col width="4.6" customWidth="1" min="10" max="10"/>
    <col width="4.6" customWidth="1" min="11" max="11"/>
    <col width="4.6" customWidth="1" min="12" max="12"/>
    <col width="4.6" customWidth="1" min="13" max="13"/>
    <col width="4.6" customWidth="1" min="14" max="14"/>
    <col width="4.6" customWidth="1" min="15" max="15"/>
    <col width="4.6" customWidth="1" min="16" max="16"/>
    <col width="4.6" customWidth="1" min="17" max="17"/>
    <col width="4.6" customWidth="1" min="18" max="18"/>
    <col width="4.6" customWidth="1" min="19" max="19"/>
    <col width="4.6" customWidth="1" min="20" max="20"/>
    <col width="4.6" customWidth="1" min="21" max="21"/>
    <col width="4.6" customWidth="1" min="22" max="22"/>
    <col width="4.6" customWidth="1" min="23" max="23"/>
    <col width="4.6" customWidth="1" min="24" max="24"/>
    <col width="4.6" customWidth="1" min="25" max="25"/>
    <col width="4.6" customWidth="1" min="26" max="26"/>
    <col width="4.6" customWidth="1" min="27" max="27"/>
    <col width="4.6" customWidth="1" min="28" max="28"/>
    <col width="4.6" customWidth="1" min="29" max="29"/>
    <col width="4.6" customWidth="1" min="30" max="30"/>
    <col width="4.6" customWidth="1" min="31" max="31"/>
    <col width="4.6" customWidth="1" min="32" max="32"/>
    <col width="4.6" customWidth="1" min="33" max="33"/>
    <col width="4.6" customWidth="1" min="34" max="34"/>
  </cols>
  <sheetData>
    <row r="1">
      <c r="A1" s="5" t="inlineStr">
        <is>
          <t>考勤录入 · 点格子右侧箭头选状态</t>
        </is>
      </c>
    </row>
    <row r="2" ht="22" customHeight="1">
      <c r="A2" s="11" t="inlineStr">
        <is>
          <t>工号</t>
        </is>
      </c>
      <c r="B2" s="11" t="inlineStr">
        <is>
          <t>姓名</t>
        </is>
      </c>
      <c r="C2" s="11" t="inlineStr">
        <is>
          <t>部门</t>
        </is>
      </c>
      <c r="D2" s="18" t="n">
        <v>1</v>
      </c>
      <c r="E2" s="11" t="n">
        <v>2</v>
      </c>
      <c r="F2" s="18" t="n">
        <v>3</v>
      </c>
      <c r="G2" s="11" t="n">
        <v>4</v>
      </c>
      <c r="H2" s="18" t="n">
        <v>5</v>
      </c>
      <c r="I2" s="11" t="n">
        <v>6</v>
      </c>
      <c r="J2" s="18" t="n">
        <v>7</v>
      </c>
      <c r="K2" s="11" t="n">
        <v>8</v>
      </c>
      <c r="L2" s="18" t="n">
        <v>9</v>
      </c>
      <c r="M2" s="11" t="n">
        <v>10</v>
      </c>
      <c r="N2" s="18" t="n">
        <v>11</v>
      </c>
      <c r="O2" s="11" t="n">
        <v>12</v>
      </c>
      <c r="P2" s="18" t="n">
        <v>13</v>
      </c>
      <c r="Q2" s="11" t="n">
        <v>14</v>
      </c>
      <c r="R2" s="18" t="n">
        <v>15</v>
      </c>
      <c r="S2" s="11" t="n">
        <v>16</v>
      </c>
      <c r="T2" s="18" t="n">
        <v>17</v>
      </c>
      <c r="U2" s="11" t="n">
        <v>18</v>
      </c>
      <c r="V2" s="18" t="n">
        <v>19</v>
      </c>
      <c r="W2" s="11" t="n">
        <v>20</v>
      </c>
      <c r="X2" s="18" t="n">
        <v>21</v>
      </c>
      <c r="Y2" s="11" t="n">
        <v>22</v>
      </c>
      <c r="Z2" s="18" t="n">
        <v>23</v>
      </c>
      <c r="AA2" s="11" t="n">
        <v>24</v>
      </c>
      <c r="AB2" s="18" t="n">
        <v>25</v>
      </c>
      <c r="AC2" s="11" t="n">
        <v>26</v>
      </c>
      <c r="AD2" s="18" t="n">
        <v>27</v>
      </c>
      <c r="AE2" s="11" t="n">
        <v>28</v>
      </c>
      <c r="AF2" s="18" t="n">
        <v>29</v>
      </c>
      <c r="AG2" s="11" t="n">
        <v>30</v>
      </c>
      <c r="AH2" s="18" t="n">
        <v>31</v>
      </c>
    </row>
    <row r="3" ht="20" customHeight="1">
      <c r="A3" s="12">
        <f>IF(员工档案!A2="","",员工档案!A2)</f>
        <v/>
      </c>
      <c r="B3" s="12">
        <f>IF(员工档案!B2="","",员工档案!B2)</f>
        <v/>
      </c>
      <c r="C3" s="12">
        <f>IF(员工档案!C2="","",员工档案!C2)</f>
        <v/>
      </c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</row>
    <row r="4" ht="20" customHeight="1">
      <c r="A4" s="15">
        <f>IF(员工档案!A3="","",员工档案!A3)</f>
        <v/>
      </c>
      <c r="B4" s="15">
        <f>IF(员工档案!B3="","",员工档案!B3)</f>
        <v/>
      </c>
      <c r="C4" s="15">
        <f>IF(员工档案!C3="","",员工档案!C3)</f>
        <v/>
      </c>
      <c r="D4" s="19" t="n"/>
      <c r="E4" s="19" t="n"/>
      <c r="F4" s="19" t="n"/>
      <c r="G4" s="19" t="n"/>
      <c r="H4" s="19" t="n"/>
      <c r="I4" s="19" t="n"/>
      <c r="J4" s="19" t="n"/>
      <c r="K4" s="19" t="n"/>
      <c r="L4" s="19" t="n"/>
      <c r="M4" s="19" t="n"/>
      <c r="N4" s="19" t="n"/>
      <c r="O4" s="19" t="n"/>
      <c r="P4" s="19" t="n"/>
      <c r="Q4" s="19" t="n"/>
      <c r="R4" s="19" t="n"/>
      <c r="S4" s="19" t="n"/>
      <c r="T4" s="19" t="n"/>
      <c r="U4" s="19" t="n"/>
      <c r="V4" s="19" t="n"/>
      <c r="W4" s="19" t="n"/>
      <c r="X4" s="19" t="n"/>
      <c r="Y4" s="19" t="n"/>
      <c r="Z4" s="19" t="n"/>
      <c r="AA4" s="19" t="n"/>
      <c r="AB4" s="19" t="n"/>
      <c r="AC4" s="19" t="n"/>
      <c r="AD4" s="19" t="n"/>
      <c r="AE4" s="19" t="n"/>
      <c r="AF4" s="19" t="n"/>
      <c r="AG4" s="19" t="n"/>
      <c r="AH4" s="19" t="n"/>
    </row>
    <row r="5" ht="20" customHeight="1">
      <c r="A5" s="12">
        <f>IF(员工档案!A4="","",员工档案!A4)</f>
        <v/>
      </c>
      <c r="B5" s="12">
        <f>IF(员工档案!B4="","",员工档案!B4)</f>
        <v/>
      </c>
      <c r="C5" s="12">
        <f>IF(员工档案!C4="","",员工档案!C4)</f>
        <v/>
      </c>
      <c r="D5" s="19" t="n"/>
      <c r="E5" s="19" t="n"/>
      <c r="F5" s="19" t="n"/>
      <c r="G5" s="19" t="n"/>
      <c r="H5" s="19" t="n"/>
      <c r="I5" s="19" t="n"/>
      <c r="J5" s="19" t="n"/>
      <c r="K5" s="19" t="n"/>
      <c r="L5" s="19" t="n"/>
      <c r="M5" s="19" t="n"/>
      <c r="N5" s="19" t="n"/>
      <c r="O5" s="19" t="n"/>
      <c r="P5" s="19" t="n"/>
      <c r="Q5" s="19" t="n"/>
      <c r="R5" s="19" t="n"/>
      <c r="S5" s="19" t="n"/>
      <c r="T5" s="19" t="n"/>
      <c r="U5" s="19" t="n"/>
      <c r="V5" s="19" t="n"/>
      <c r="W5" s="19" t="n"/>
      <c r="X5" s="19" t="n"/>
      <c r="Y5" s="19" t="n"/>
      <c r="Z5" s="19" t="n"/>
      <c r="AA5" s="19" t="n"/>
      <c r="AB5" s="19" t="n"/>
      <c r="AC5" s="19" t="n"/>
      <c r="AD5" s="19" t="n"/>
      <c r="AE5" s="19" t="n"/>
      <c r="AF5" s="19" t="n"/>
      <c r="AG5" s="19" t="n"/>
      <c r="AH5" s="19" t="n"/>
    </row>
    <row r="6" ht="20" customHeight="1">
      <c r="A6" s="15">
        <f>IF(员工档案!A5="","",员工档案!A5)</f>
        <v/>
      </c>
      <c r="B6" s="15">
        <f>IF(员工档案!B5="","",员工档案!B5)</f>
        <v/>
      </c>
      <c r="C6" s="15">
        <f>IF(员工档案!C5="","",员工档案!C5)</f>
        <v/>
      </c>
      <c r="D6" s="19" t="n"/>
      <c r="E6" s="19" t="n"/>
      <c r="F6" s="19" t="n"/>
      <c r="G6" s="19" t="n"/>
      <c r="H6" s="19" t="n"/>
      <c r="I6" s="19" t="n"/>
      <c r="J6" s="19" t="n"/>
      <c r="K6" s="19" t="n"/>
      <c r="L6" s="19" t="n"/>
      <c r="M6" s="19" t="n"/>
      <c r="N6" s="19" t="n"/>
      <c r="O6" s="19" t="n"/>
      <c r="P6" s="19" t="n"/>
      <c r="Q6" s="19" t="n"/>
      <c r="R6" s="19" t="n"/>
      <c r="S6" s="19" t="n"/>
      <c r="T6" s="19" t="n"/>
      <c r="U6" s="19" t="n"/>
      <c r="V6" s="19" t="n"/>
      <c r="W6" s="19" t="n"/>
      <c r="X6" s="19" t="n"/>
      <c r="Y6" s="19" t="n"/>
      <c r="Z6" s="19" t="n"/>
      <c r="AA6" s="19" t="n"/>
      <c r="AB6" s="19" t="n"/>
      <c r="AC6" s="19" t="n"/>
      <c r="AD6" s="19" t="n"/>
      <c r="AE6" s="19" t="n"/>
      <c r="AF6" s="19" t="n"/>
      <c r="AG6" s="19" t="n"/>
      <c r="AH6" s="19" t="n"/>
    </row>
    <row r="7" ht="20" customHeight="1">
      <c r="A7" s="12">
        <f>IF(员工档案!A6="","",员工档案!A6)</f>
        <v/>
      </c>
      <c r="B7" s="12">
        <f>IF(员工档案!B6="","",员工档案!B6)</f>
        <v/>
      </c>
      <c r="C7" s="12">
        <f>IF(员工档案!C6="","",员工档案!C6)</f>
        <v/>
      </c>
      <c r="D7" s="19" t="n"/>
      <c r="E7" s="19" t="n"/>
      <c r="F7" s="19" t="n"/>
      <c r="G7" s="19" t="n"/>
      <c r="H7" s="19" t="n"/>
      <c r="I7" s="19" t="n"/>
      <c r="J7" s="19" t="n"/>
      <c r="K7" s="19" t="n"/>
      <c r="L7" s="19" t="n"/>
      <c r="M7" s="19" t="n"/>
      <c r="N7" s="19" t="n"/>
      <c r="O7" s="19" t="n"/>
      <c r="P7" s="19" t="n"/>
      <c r="Q7" s="19" t="n"/>
      <c r="R7" s="19" t="n"/>
      <c r="S7" s="19" t="n"/>
      <c r="T7" s="19" t="n"/>
      <c r="U7" s="19" t="n"/>
      <c r="V7" s="19" t="n"/>
      <c r="W7" s="19" t="n"/>
      <c r="X7" s="19" t="n"/>
      <c r="Y7" s="19" t="n"/>
      <c r="Z7" s="19" t="n"/>
      <c r="AA7" s="19" t="n"/>
      <c r="AB7" s="19" t="n"/>
      <c r="AC7" s="19" t="n"/>
      <c r="AD7" s="19" t="n"/>
      <c r="AE7" s="19" t="n"/>
      <c r="AF7" s="19" t="n"/>
      <c r="AG7" s="19" t="n"/>
      <c r="AH7" s="19" t="n"/>
    </row>
    <row r="8" ht="20" customHeight="1">
      <c r="A8" s="15">
        <f>IF(员工档案!A7="","",员工档案!A7)</f>
        <v/>
      </c>
      <c r="B8" s="15">
        <f>IF(员工档案!B7="","",员工档案!B7)</f>
        <v/>
      </c>
      <c r="C8" s="15">
        <f>IF(员工档案!C7="","",员工档案!C7)</f>
        <v/>
      </c>
      <c r="D8" s="19" t="n"/>
      <c r="E8" s="19" t="n"/>
      <c r="F8" s="19" t="n"/>
      <c r="G8" s="19" t="n"/>
      <c r="H8" s="19" t="n"/>
      <c r="I8" s="19" t="n"/>
      <c r="J8" s="19" t="n"/>
      <c r="K8" s="19" t="n"/>
      <c r="L8" s="19" t="n"/>
      <c r="M8" s="19" t="n"/>
      <c r="N8" s="19" t="n"/>
      <c r="O8" s="19" t="n"/>
      <c r="P8" s="19" t="n"/>
      <c r="Q8" s="19" t="n"/>
      <c r="R8" s="19" t="n"/>
      <c r="S8" s="19" t="n"/>
      <c r="T8" s="19" t="n"/>
      <c r="U8" s="19" t="n"/>
      <c r="V8" s="19" t="n"/>
      <c r="W8" s="19" t="n"/>
      <c r="X8" s="19" t="n"/>
      <c r="Y8" s="19" t="n"/>
      <c r="Z8" s="19" t="n"/>
      <c r="AA8" s="19" t="n"/>
      <c r="AB8" s="19" t="n"/>
      <c r="AC8" s="19" t="n"/>
      <c r="AD8" s="19" t="n"/>
      <c r="AE8" s="19" t="n"/>
      <c r="AF8" s="19" t="n"/>
      <c r="AG8" s="19" t="n"/>
      <c r="AH8" s="19" t="n"/>
    </row>
    <row r="9" ht="20" customHeight="1">
      <c r="A9" s="12">
        <f>IF(员工档案!A8="","",员工档案!A8)</f>
        <v/>
      </c>
      <c r="B9" s="12">
        <f>IF(员工档案!B8="","",员工档案!B8)</f>
        <v/>
      </c>
      <c r="C9" s="12">
        <f>IF(员工档案!C8="","",员工档案!C8)</f>
        <v/>
      </c>
      <c r="D9" s="19" t="n"/>
      <c r="E9" s="19" t="n"/>
      <c r="F9" s="19" t="n"/>
      <c r="G9" s="19" t="n"/>
      <c r="H9" s="19" t="n"/>
      <c r="I9" s="19" t="n"/>
      <c r="J9" s="19" t="n"/>
      <c r="K9" s="19" t="n"/>
      <c r="L9" s="19" t="n"/>
      <c r="M9" s="19" t="n"/>
      <c r="N9" s="19" t="n"/>
      <c r="O9" s="19" t="n"/>
      <c r="P9" s="19" t="n"/>
      <c r="Q9" s="19" t="n"/>
      <c r="R9" s="19" t="n"/>
      <c r="S9" s="19" t="n"/>
      <c r="T9" s="19" t="n"/>
      <c r="U9" s="19" t="n"/>
      <c r="V9" s="19" t="n"/>
      <c r="W9" s="19" t="n"/>
      <c r="X9" s="19" t="n"/>
      <c r="Y9" s="19" t="n"/>
      <c r="Z9" s="19" t="n"/>
      <c r="AA9" s="19" t="n"/>
      <c r="AB9" s="19" t="n"/>
      <c r="AC9" s="19" t="n"/>
      <c r="AD9" s="19" t="n"/>
      <c r="AE9" s="19" t="n"/>
      <c r="AF9" s="19" t="n"/>
      <c r="AG9" s="19" t="n"/>
      <c r="AH9" s="19" t="n"/>
    </row>
    <row r="10" ht="20" customHeight="1">
      <c r="A10" s="15">
        <f>IF(员工档案!A9="","",员工档案!A9)</f>
        <v/>
      </c>
      <c r="B10" s="15">
        <f>IF(员工档案!B9="","",员工档案!B9)</f>
        <v/>
      </c>
      <c r="C10" s="15">
        <f>IF(员工档案!C9="","",员工档案!C9)</f>
        <v/>
      </c>
      <c r="D10" s="19" t="n"/>
      <c r="E10" s="19" t="n"/>
      <c r="F10" s="19" t="n"/>
      <c r="G10" s="19" t="n"/>
      <c r="H10" s="19" t="n"/>
      <c r="I10" s="19" t="n"/>
      <c r="J10" s="19" t="n"/>
      <c r="K10" s="19" t="n"/>
      <c r="L10" s="19" t="n"/>
      <c r="M10" s="19" t="n"/>
      <c r="N10" s="19" t="n"/>
      <c r="O10" s="19" t="n"/>
      <c r="P10" s="19" t="n"/>
      <c r="Q10" s="19" t="n"/>
      <c r="R10" s="19" t="n"/>
      <c r="S10" s="19" t="n"/>
      <c r="T10" s="19" t="n"/>
      <c r="U10" s="19" t="n"/>
      <c r="V10" s="19" t="n"/>
      <c r="W10" s="19" t="n"/>
      <c r="X10" s="19" t="n"/>
      <c r="Y10" s="19" t="n"/>
      <c r="Z10" s="19" t="n"/>
      <c r="AA10" s="19" t="n"/>
      <c r="AB10" s="19" t="n"/>
      <c r="AC10" s="19" t="n"/>
      <c r="AD10" s="19" t="n"/>
      <c r="AE10" s="19" t="n"/>
      <c r="AF10" s="19" t="n"/>
      <c r="AG10" s="19" t="n"/>
      <c r="AH10" s="19" t="n"/>
    </row>
    <row r="11" ht="20" customHeight="1">
      <c r="A11" s="12">
        <f>IF(员工档案!A10="","",员工档案!A10)</f>
        <v/>
      </c>
      <c r="B11" s="12">
        <f>IF(员工档案!B10="","",员工档案!B10)</f>
        <v/>
      </c>
      <c r="C11" s="12">
        <f>IF(员工档案!C10="","",员工档案!C10)</f>
        <v/>
      </c>
      <c r="D11" s="19" t="n"/>
      <c r="E11" s="19" t="n"/>
      <c r="F11" s="19" t="n"/>
      <c r="G11" s="19" t="n"/>
      <c r="H11" s="19" t="n"/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  <c r="R11" s="19" t="n"/>
      <c r="S11" s="19" t="n"/>
      <c r="T11" s="19" t="n"/>
      <c r="U11" s="19" t="n"/>
      <c r="V11" s="19" t="n"/>
      <c r="W11" s="19" t="n"/>
      <c r="X11" s="19" t="n"/>
      <c r="Y11" s="19" t="n"/>
      <c r="Z11" s="19" t="n"/>
      <c r="AA11" s="19" t="n"/>
      <c r="AB11" s="19" t="n"/>
      <c r="AC11" s="19" t="n"/>
      <c r="AD11" s="19" t="n"/>
      <c r="AE11" s="19" t="n"/>
      <c r="AF11" s="19" t="n"/>
      <c r="AG11" s="19" t="n"/>
      <c r="AH11" s="19" t="n"/>
    </row>
    <row r="12" ht="20" customHeight="1">
      <c r="A12" s="15">
        <f>IF(员工档案!A11="","",员工档案!A11)</f>
        <v/>
      </c>
      <c r="B12" s="15">
        <f>IF(员工档案!B11="","",员工档案!B11)</f>
        <v/>
      </c>
      <c r="C12" s="15">
        <f>IF(员工档案!C11="","",员工档案!C11)</f>
        <v/>
      </c>
      <c r="D12" s="19" t="n"/>
      <c r="E12" s="19" t="n"/>
      <c r="F12" s="19" t="n"/>
      <c r="G12" s="19" t="n"/>
      <c r="H12" s="19" t="n"/>
      <c r="I12" s="19" t="n"/>
      <c r="J12" s="19" t="n"/>
      <c r="K12" s="19" t="n"/>
      <c r="L12" s="19" t="n"/>
      <c r="M12" s="19" t="n"/>
      <c r="N12" s="19" t="n"/>
      <c r="O12" s="19" t="n"/>
      <c r="P12" s="19" t="n"/>
      <c r="Q12" s="19" t="n"/>
      <c r="R12" s="19" t="n"/>
      <c r="S12" s="19" t="n"/>
      <c r="T12" s="19" t="n"/>
      <c r="U12" s="19" t="n"/>
      <c r="V12" s="19" t="n"/>
      <c r="W12" s="19" t="n"/>
      <c r="X12" s="19" t="n"/>
      <c r="Y12" s="19" t="n"/>
      <c r="Z12" s="19" t="n"/>
      <c r="AA12" s="19" t="n"/>
      <c r="AB12" s="19" t="n"/>
      <c r="AC12" s="19" t="n"/>
      <c r="AD12" s="19" t="n"/>
      <c r="AE12" s="19" t="n"/>
      <c r="AF12" s="19" t="n"/>
      <c r="AG12" s="19" t="n"/>
      <c r="AH12" s="19" t="n"/>
    </row>
    <row r="13" ht="20" customHeight="1">
      <c r="A13" s="12">
        <f>IF(员工档案!A12="","",员工档案!A12)</f>
        <v/>
      </c>
      <c r="B13" s="12">
        <f>IF(员工档案!B12="","",员工档案!B12)</f>
        <v/>
      </c>
      <c r="C13" s="12">
        <f>IF(员工档案!C12="","",员工档案!C12)</f>
        <v/>
      </c>
      <c r="D13" s="19" t="n"/>
      <c r="E13" s="19" t="n"/>
      <c r="F13" s="19" t="n"/>
      <c r="G13" s="19" t="n"/>
      <c r="H13" s="19" t="n"/>
      <c r="I13" s="19" t="n"/>
      <c r="J13" s="19" t="n"/>
      <c r="K13" s="19" t="n"/>
      <c r="L13" s="19" t="n"/>
      <c r="M13" s="19" t="n"/>
      <c r="N13" s="19" t="n"/>
      <c r="O13" s="19" t="n"/>
      <c r="P13" s="19" t="n"/>
      <c r="Q13" s="19" t="n"/>
      <c r="R13" s="19" t="n"/>
      <c r="S13" s="19" t="n"/>
      <c r="T13" s="19" t="n"/>
      <c r="U13" s="19" t="n"/>
      <c r="V13" s="19" t="n"/>
      <c r="W13" s="19" t="n"/>
      <c r="X13" s="19" t="n"/>
      <c r="Y13" s="19" t="n"/>
      <c r="Z13" s="19" t="n"/>
      <c r="AA13" s="19" t="n"/>
      <c r="AB13" s="19" t="n"/>
      <c r="AC13" s="19" t="n"/>
      <c r="AD13" s="19" t="n"/>
      <c r="AE13" s="19" t="n"/>
      <c r="AF13" s="19" t="n"/>
      <c r="AG13" s="19" t="n"/>
      <c r="AH13" s="19" t="n"/>
    </row>
    <row r="14" ht="20" customHeight="1">
      <c r="A14" s="15">
        <f>IF(员工档案!A13="","",员工档案!A13)</f>
        <v/>
      </c>
      <c r="B14" s="15">
        <f>IF(员工档案!B13="","",员工档案!B13)</f>
        <v/>
      </c>
      <c r="C14" s="15">
        <f>IF(员工档案!C13="","",员工档案!C13)</f>
        <v/>
      </c>
      <c r="D14" s="19" t="n"/>
      <c r="E14" s="19" t="n"/>
      <c r="F14" s="19" t="n"/>
      <c r="G14" s="19" t="n"/>
      <c r="H14" s="19" t="n"/>
      <c r="I14" s="19" t="n"/>
      <c r="J14" s="19" t="n"/>
      <c r="K14" s="19" t="n"/>
      <c r="L14" s="19" t="n"/>
      <c r="M14" s="19" t="n"/>
      <c r="N14" s="19" t="n"/>
      <c r="O14" s="19" t="n"/>
      <c r="P14" s="19" t="n"/>
      <c r="Q14" s="19" t="n"/>
      <c r="R14" s="19" t="n"/>
      <c r="S14" s="19" t="n"/>
      <c r="T14" s="19" t="n"/>
      <c r="U14" s="19" t="n"/>
      <c r="V14" s="19" t="n"/>
      <c r="W14" s="19" t="n"/>
      <c r="X14" s="19" t="n"/>
      <c r="Y14" s="19" t="n"/>
      <c r="Z14" s="19" t="n"/>
      <c r="AA14" s="19" t="n"/>
      <c r="AB14" s="19" t="n"/>
      <c r="AC14" s="19" t="n"/>
      <c r="AD14" s="19" t="n"/>
      <c r="AE14" s="19" t="n"/>
      <c r="AF14" s="19" t="n"/>
      <c r="AG14" s="19" t="n"/>
      <c r="AH14" s="19" t="n"/>
    </row>
    <row r="15" ht="20" customHeight="1">
      <c r="A15" s="12">
        <f>IF(员工档案!A14="","",员工档案!A14)</f>
        <v/>
      </c>
      <c r="B15" s="12">
        <f>IF(员工档案!B14="","",员工档案!B14)</f>
        <v/>
      </c>
      <c r="C15" s="12">
        <f>IF(员工档案!C14="","",员工档案!C14)</f>
        <v/>
      </c>
      <c r="D15" s="19" t="n"/>
      <c r="E15" s="19" t="n"/>
      <c r="F15" s="19" t="n"/>
      <c r="G15" s="19" t="n"/>
      <c r="H15" s="19" t="n"/>
      <c r="I15" s="19" t="n"/>
      <c r="J15" s="19" t="n"/>
      <c r="K15" s="19" t="n"/>
      <c r="L15" s="19" t="n"/>
      <c r="M15" s="19" t="n"/>
      <c r="N15" s="19" t="n"/>
      <c r="O15" s="19" t="n"/>
      <c r="P15" s="19" t="n"/>
      <c r="Q15" s="19" t="n"/>
      <c r="R15" s="19" t="n"/>
      <c r="S15" s="19" t="n"/>
      <c r="T15" s="19" t="n"/>
      <c r="U15" s="19" t="n"/>
      <c r="V15" s="19" t="n"/>
      <c r="W15" s="19" t="n"/>
      <c r="X15" s="19" t="n"/>
      <c r="Y15" s="19" t="n"/>
      <c r="Z15" s="19" t="n"/>
      <c r="AA15" s="19" t="n"/>
      <c r="AB15" s="19" t="n"/>
      <c r="AC15" s="19" t="n"/>
      <c r="AD15" s="19" t="n"/>
      <c r="AE15" s="19" t="n"/>
      <c r="AF15" s="19" t="n"/>
      <c r="AG15" s="19" t="n"/>
      <c r="AH15" s="19" t="n"/>
    </row>
    <row r="16" ht="20" customHeight="1">
      <c r="A16" s="15">
        <f>IF(员工档案!A15="","",员工档案!A15)</f>
        <v/>
      </c>
      <c r="B16" s="15">
        <f>IF(员工档案!B15="","",员工档案!B15)</f>
        <v/>
      </c>
      <c r="C16" s="15">
        <f>IF(员工档案!C15="","",员工档案!C15)</f>
        <v/>
      </c>
      <c r="D16" s="19" t="n"/>
      <c r="E16" s="19" t="n"/>
      <c r="F16" s="19" t="n"/>
      <c r="G16" s="19" t="n"/>
      <c r="H16" s="19" t="n"/>
      <c r="I16" s="19" t="n"/>
      <c r="J16" s="19" t="n"/>
      <c r="K16" s="19" t="n"/>
      <c r="L16" s="19" t="n"/>
      <c r="M16" s="19" t="n"/>
      <c r="N16" s="19" t="n"/>
      <c r="O16" s="19" t="n"/>
      <c r="P16" s="19" t="n"/>
      <c r="Q16" s="19" t="n"/>
      <c r="R16" s="19" t="n"/>
      <c r="S16" s="19" t="n"/>
      <c r="T16" s="19" t="n"/>
      <c r="U16" s="19" t="n"/>
      <c r="V16" s="19" t="n"/>
      <c r="W16" s="19" t="n"/>
      <c r="X16" s="19" t="n"/>
      <c r="Y16" s="19" t="n"/>
      <c r="Z16" s="19" t="n"/>
      <c r="AA16" s="19" t="n"/>
      <c r="AB16" s="19" t="n"/>
      <c r="AC16" s="19" t="n"/>
      <c r="AD16" s="19" t="n"/>
      <c r="AE16" s="19" t="n"/>
      <c r="AF16" s="19" t="n"/>
      <c r="AG16" s="19" t="n"/>
      <c r="AH16" s="19" t="n"/>
    </row>
    <row r="17" ht="20" customHeight="1">
      <c r="A17" s="12">
        <f>IF(员工档案!A16="","",员工档案!A16)</f>
        <v/>
      </c>
      <c r="B17" s="12">
        <f>IF(员工档案!B16="","",员工档案!B16)</f>
        <v/>
      </c>
      <c r="C17" s="12">
        <f>IF(员工档案!C16="","",员工档案!C16)</f>
        <v/>
      </c>
      <c r="D17" s="19" t="n"/>
      <c r="E17" s="19" t="n"/>
      <c r="F17" s="19" t="n"/>
      <c r="G17" s="19" t="n"/>
      <c r="H17" s="19" t="n"/>
      <c r="I17" s="19" t="n"/>
      <c r="J17" s="19" t="n"/>
      <c r="K17" s="19" t="n"/>
      <c r="L17" s="19" t="n"/>
      <c r="M17" s="19" t="n"/>
      <c r="N17" s="19" t="n"/>
      <c r="O17" s="19" t="n"/>
      <c r="P17" s="19" t="n"/>
      <c r="Q17" s="19" t="n"/>
      <c r="R17" s="19" t="n"/>
      <c r="S17" s="19" t="n"/>
      <c r="T17" s="19" t="n"/>
      <c r="U17" s="19" t="n"/>
      <c r="V17" s="19" t="n"/>
      <c r="W17" s="19" t="n"/>
      <c r="X17" s="19" t="n"/>
      <c r="Y17" s="19" t="n"/>
      <c r="Z17" s="19" t="n"/>
      <c r="AA17" s="19" t="n"/>
      <c r="AB17" s="19" t="n"/>
      <c r="AC17" s="19" t="n"/>
      <c r="AD17" s="19" t="n"/>
      <c r="AE17" s="19" t="n"/>
      <c r="AF17" s="19" t="n"/>
      <c r="AG17" s="19" t="n"/>
      <c r="AH17" s="19" t="n"/>
    </row>
    <row r="18" ht="20" customHeight="1">
      <c r="A18" s="15">
        <f>IF(员工档案!A17="","",员工档案!A17)</f>
        <v/>
      </c>
      <c r="B18" s="15">
        <f>IF(员工档案!B17="","",员工档案!B17)</f>
        <v/>
      </c>
      <c r="C18" s="15">
        <f>IF(员工档案!C17="","",员工档案!C17)</f>
        <v/>
      </c>
      <c r="D18" s="19" t="n"/>
      <c r="E18" s="19" t="n"/>
      <c r="F18" s="19" t="n"/>
      <c r="G18" s="19" t="n"/>
      <c r="H18" s="19" t="n"/>
      <c r="I18" s="19" t="n"/>
      <c r="J18" s="19" t="n"/>
      <c r="K18" s="19" t="n"/>
      <c r="L18" s="19" t="n"/>
      <c r="M18" s="19" t="n"/>
      <c r="N18" s="19" t="n"/>
      <c r="O18" s="19" t="n"/>
      <c r="P18" s="19" t="n"/>
      <c r="Q18" s="19" t="n"/>
      <c r="R18" s="19" t="n"/>
      <c r="S18" s="19" t="n"/>
      <c r="T18" s="19" t="n"/>
      <c r="U18" s="19" t="n"/>
      <c r="V18" s="19" t="n"/>
      <c r="W18" s="19" t="n"/>
      <c r="X18" s="19" t="n"/>
      <c r="Y18" s="19" t="n"/>
      <c r="Z18" s="19" t="n"/>
      <c r="AA18" s="19" t="n"/>
      <c r="AB18" s="19" t="n"/>
      <c r="AC18" s="19" t="n"/>
      <c r="AD18" s="19" t="n"/>
      <c r="AE18" s="19" t="n"/>
      <c r="AF18" s="19" t="n"/>
      <c r="AG18" s="19" t="n"/>
      <c r="AH18" s="19" t="n"/>
    </row>
    <row r="19" ht="20" customHeight="1">
      <c r="A19" s="12">
        <f>IF(员工档案!A18="","",员工档案!A18)</f>
        <v/>
      </c>
      <c r="B19" s="12">
        <f>IF(员工档案!B18="","",员工档案!B18)</f>
        <v/>
      </c>
      <c r="C19" s="12">
        <f>IF(员工档案!C18="","",员工档案!C18)</f>
        <v/>
      </c>
      <c r="D19" s="19" t="n"/>
      <c r="E19" s="19" t="n"/>
      <c r="F19" s="19" t="n"/>
      <c r="G19" s="19" t="n"/>
      <c r="H19" s="19" t="n"/>
      <c r="I19" s="19" t="n"/>
      <c r="J19" s="19" t="n"/>
      <c r="K19" s="19" t="n"/>
      <c r="L19" s="19" t="n"/>
      <c r="M19" s="19" t="n"/>
      <c r="N19" s="19" t="n"/>
      <c r="O19" s="19" t="n"/>
      <c r="P19" s="19" t="n"/>
      <c r="Q19" s="19" t="n"/>
      <c r="R19" s="19" t="n"/>
      <c r="S19" s="19" t="n"/>
      <c r="T19" s="19" t="n"/>
      <c r="U19" s="19" t="n"/>
      <c r="V19" s="19" t="n"/>
      <c r="W19" s="19" t="n"/>
      <c r="X19" s="19" t="n"/>
      <c r="Y19" s="19" t="n"/>
      <c r="Z19" s="19" t="n"/>
      <c r="AA19" s="19" t="n"/>
      <c r="AB19" s="19" t="n"/>
      <c r="AC19" s="19" t="n"/>
      <c r="AD19" s="19" t="n"/>
      <c r="AE19" s="19" t="n"/>
      <c r="AF19" s="19" t="n"/>
      <c r="AG19" s="19" t="n"/>
      <c r="AH19" s="19" t="n"/>
    </row>
    <row r="20" ht="20" customHeight="1">
      <c r="A20" s="15">
        <f>IF(员工档案!A19="","",员工档案!A19)</f>
        <v/>
      </c>
      <c r="B20" s="15">
        <f>IF(员工档案!B19="","",员工档案!B19)</f>
        <v/>
      </c>
      <c r="C20" s="15">
        <f>IF(员工档案!C19="","",员工档案!C19)</f>
        <v/>
      </c>
      <c r="D20" s="19" t="n"/>
      <c r="E20" s="19" t="n"/>
      <c r="F20" s="19" t="n"/>
      <c r="G20" s="19" t="n"/>
      <c r="H20" s="19" t="n"/>
      <c r="I20" s="19" t="n"/>
      <c r="J20" s="19" t="n"/>
      <c r="K20" s="19" t="n"/>
      <c r="L20" s="19" t="n"/>
      <c r="M20" s="19" t="n"/>
      <c r="N20" s="19" t="n"/>
      <c r="O20" s="19" t="n"/>
      <c r="P20" s="19" t="n"/>
      <c r="Q20" s="19" t="n"/>
      <c r="R20" s="19" t="n"/>
      <c r="S20" s="19" t="n"/>
      <c r="T20" s="19" t="n"/>
      <c r="U20" s="19" t="n"/>
      <c r="V20" s="19" t="n"/>
      <c r="W20" s="19" t="n"/>
      <c r="X20" s="19" t="n"/>
      <c r="Y20" s="19" t="n"/>
      <c r="Z20" s="19" t="n"/>
      <c r="AA20" s="19" t="n"/>
      <c r="AB20" s="19" t="n"/>
      <c r="AC20" s="19" t="n"/>
      <c r="AD20" s="19" t="n"/>
      <c r="AE20" s="19" t="n"/>
      <c r="AF20" s="19" t="n"/>
      <c r="AG20" s="19" t="n"/>
      <c r="AH20" s="19" t="n"/>
    </row>
    <row r="21" ht="20" customHeight="1">
      <c r="A21" s="12">
        <f>IF(员工档案!A20="","",员工档案!A20)</f>
        <v/>
      </c>
      <c r="B21" s="12">
        <f>IF(员工档案!B20="","",员工档案!B20)</f>
        <v/>
      </c>
      <c r="C21" s="12">
        <f>IF(员工档案!C20="","",员工档案!C20)</f>
        <v/>
      </c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  <c r="Q21" s="19" t="n"/>
      <c r="R21" s="19" t="n"/>
      <c r="S21" s="19" t="n"/>
      <c r="T21" s="19" t="n"/>
      <c r="U21" s="19" t="n"/>
      <c r="V21" s="19" t="n"/>
      <c r="W21" s="19" t="n"/>
      <c r="X21" s="19" t="n"/>
      <c r="Y21" s="19" t="n"/>
      <c r="Z21" s="19" t="n"/>
      <c r="AA21" s="19" t="n"/>
      <c r="AB21" s="19" t="n"/>
      <c r="AC21" s="19" t="n"/>
      <c r="AD21" s="19" t="n"/>
      <c r="AE21" s="19" t="n"/>
      <c r="AF21" s="19" t="n"/>
      <c r="AG21" s="19" t="n"/>
      <c r="AH21" s="19" t="n"/>
    </row>
    <row r="22" ht="20" customHeight="1">
      <c r="A22" s="15">
        <f>IF(员工档案!A21="","",员工档案!A21)</f>
        <v/>
      </c>
      <c r="B22" s="15">
        <f>IF(员工档案!B21="","",员工档案!B21)</f>
        <v/>
      </c>
      <c r="C22" s="15">
        <f>IF(员工档案!C21="","",员工档案!C21)</f>
        <v/>
      </c>
      <c r="D22" s="19" t="n"/>
      <c r="E22" s="19" t="n"/>
      <c r="F22" s="19" t="n"/>
      <c r="G22" s="19" t="n"/>
      <c r="H22" s="19" t="n"/>
      <c r="I22" s="19" t="n"/>
      <c r="J22" s="19" t="n"/>
      <c r="K22" s="19" t="n"/>
      <c r="L22" s="19" t="n"/>
      <c r="M22" s="19" t="n"/>
      <c r="N22" s="19" t="n"/>
      <c r="O22" s="19" t="n"/>
      <c r="P22" s="19" t="n"/>
      <c r="Q22" s="19" t="n"/>
      <c r="R22" s="19" t="n"/>
      <c r="S22" s="19" t="n"/>
      <c r="T22" s="19" t="n"/>
      <c r="U22" s="19" t="n"/>
      <c r="V22" s="19" t="n"/>
      <c r="W22" s="19" t="n"/>
      <c r="X22" s="19" t="n"/>
      <c r="Y22" s="19" t="n"/>
      <c r="Z22" s="19" t="n"/>
      <c r="AA22" s="19" t="n"/>
      <c r="AB22" s="19" t="n"/>
      <c r="AC22" s="19" t="n"/>
      <c r="AD22" s="19" t="n"/>
      <c r="AE22" s="19" t="n"/>
      <c r="AF22" s="19" t="n"/>
      <c r="AG22" s="19" t="n"/>
      <c r="AH22" s="19" t="n"/>
    </row>
    <row r="23" ht="20" customHeight="1">
      <c r="A23" s="12">
        <f>IF(员工档案!A22="","",员工档案!A22)</f>
        <v/>
      </c>
      <c r="B23" s="12">
        <f>IF(员工档案!B22="","",员工档案!B22)</f>
        <v/>
      </c>
      <c r="C23" s="12">
        <f>IF(员工档案!C22="","",员工档案!C22)</f>
        <v/>
      </c>
      <c r="D23" s="19" t="n"/>
      <c r="E23" s="19" t="n"/>
      <c r="F23" s="19" t="n"/>
      <c r="G23" s="19" t="n"/>
      <c r="H23" s="19" t="n"/>
      <c r="I23" s="19" t="n"/>
      <c r="J23" s="19" t="n"/>
      <c r="K23" s="19" t="n"/>
      <c r="L23" s="19" t="n"/>
      <c r="M23" s="19" t="n"/>
      <c r="N23" s="19" t="n"/>
      <c r="O23" s="19" t="n"/>
      <c r="P23" s="19" t="n"/>
      <c r="Q23" s="19" t="n"/>
      <c r="R23" s="19" t="n"/>
      <c r="S23" s="19" t="n"/>
      <c r="T23" s="19" t="n"/>
      <c r="U23" s="19" t="n"/>
      <c r="V23" s="19" t="n"/>
      <c r="W23" s="19" t="n"/>
      <c r="X23" s="19" t="n"/>
      <c r="Y23" s="19" t="n"/>
      <c r="Z23" s="19" t="n"/>
      <c r="AA23" s="19" t="n"/>
      <c r="AB23" s="19" t="n"/>
      <c r="AC23" s="19" t="n"/>
      <c r="AD23" s="19" t="n"/>
      <c r="AE23" s="19" t="n"/>
      <c r="AF23" s="19" t="n"/>
      <c r="AG23" s="19" t="n"/>
      <c r="AH23" s="19" t="n"/>
    </row>
    <row r="24" ht="20" customHeight="1">
      <c r="A24" s="15">
        <f>IF(员工档案!A23="","",员工档案!A23)</f>
        <v/>
      </c>
      <c r="B24" s="15">
        <f>IF(员工档案!B23="","",员工档案!B23)</f>
        <v/>
      </c>
      <c r="C24" s="15">
        <f>IF(员工档案!C23="","",员工档案!C23)</f>
        <v/>
      </c>
      <c r="D24" s="19" t="n"/>
      <c r="E24" s="19" t="n"/>
      <c r="F24" s="19" t="n"/>
      <c r="G24" s="19" t="n"/>
      <c r="H24" s="19" t="n"/>
      <c r="I24" s="19" t="n"/>
      <c r="J24" s="19" t="n"/>
      <c r="K24" s="19" t="n"/>
      <c r="L24" s="19" t="n"/>
      <c r="M24" s="19" t="n"/>
      <c r="N24" s="19" t="n"/>
      <c r="O24" s="19" t="n"/>
      <c r="P24" s="19" t="n"/>
      <c r="Q24" s="19" t="n"/>
      <c r="R24" s="19" t="n"/>
      <c r="S24" s="19" t="n"/>
      <c r="T24" s="19" t="n"/>
      <c r="U24" s="19" t="n"/>
      <c r="V24" s="19" t="n"/>
      <c r="W24" s="19" t="n"/>
      <c r="X24" s="19" t="n"/>
      <c r="Y24" s="19" t="n"/>
      <c r="Z24" s="19" t="n"/>
      <c r="AA24" s="19" t="n"/>
      <c r="AB24" s="19" t="n"/>
      <c r="AC24" s="19" t="n"/>
      <c r="AD24" s="19" t="n"/>
      <c r="AE24" s="19" t="n"/>
      <c r="AF24" s="19" t="n"/>
      <c r="AG24" s="19" t="n"/>
      <c r="AH24" s="19" t="n"/>
    </row>
    <row r="25" ht="20" customHeight="1">
      <c r="A25" s="12">
        <f>IF(员工档案!A24="","",员工档案!A24)</f>
        <v/>
      </c>
      <c r="B25" s="12">
        <f>IF(员工档案!B24="","",员工档案!B24)</f>
        <v/>
      </c>
      <c r="C25" s="12">
        <f>IF(员工档案!C24="","",员工档案!C24)</f>
        <v/>
      </c>
      <c r="D25" s="19" t="n"/>
      <c r="E25" s="19" t="n"/>
      <c r="F25" s="19" t="n"/>
      <c r="G25" s="19" t="n"/>
      <c r="H25" s="19" t="n"/>
      <c r="I25" s="19" t="n"/>
      <c r="J25" s="19" t="n"/>
      <c r="K25" s="19" t="n"/>
      <c r="L25" s="19" t="n"/>
      <c r="M25" s="19" t="n"/>
      <c r="N25" s="19" t="n"/>
      <c r="O25" s="19" t="n"/>
      <c r="P25" s="19" t="n"/>
      <c r="Q25" s="19" t="n"/>
      <c r="R25" s="19" t="n"/>
      <c r="S25" s="19" t="n"/>
      <c r="T25" s="19" t="n"/>
      <c r="U25" s="19" t="n"/>
      <c r="V25" s="19" t="n"/>
      <c r="W25" s="19" t="n"/>
      <c r="X25" s="19" t="n"/>
      <c r="Y25" s="19" t="n"/>
      <c r="Z25" s="19" t="n"/>
      <c r="AA25" s="19" t="n"/>
      <c r="AB25" s="19" t="n"/>
      <c r="AC25" s="19" t="n"/>
      <c r="AD25" s="19" t="n"/>
      <c r="AE25" s="19" t="n"/>
      <c r="AF25" s="19" t="n"/>
      <c r="AG25" s="19" t="n"/>
      <c r="AH25" s="19" t="n"/>
    </row>
    <row r="26" ht="20" customHeight="1">
      <c r="A26" s="15">
        <f>IF(员工档案!A25="","",员工档案!A25)</f>
        <v/>
      </c>
      <c r="B26" s="15">
        <f>IF(员工档案!B25="","",员工档案!B25)</f>
        <v/>
      </c>
      <c r="C26" s="15">
        <f>IF(员工档案!C25="","",员工档案!C25)</f>
        <v/>
      </c>
      <c r="D26" s="19" t="n"/>
      <c r="E26" s="19" t="n"/>
      <c r="F26" s="19" t="n"/>
      <c r="G26" s="19" t="n"/>
      <c r="H26" s="19" t="n"/>
      <c r="I26" s="19" t="n"/>
      <c r="J26" s="19" t="n"/>
      <c r="K26" s="19" t="n"/>
      <c r="L26" s="19" t="n"/>
      <c r="M26" s="19" t="n"/>
      <c r="N26" s="19" t="n"/>
      <c r="O26" s="19" t="n"/>
      <c r="P26" s="19" t="n"/>
      <c r="Q26" s="19" t="n"/>
      <c r="R26" s="19" t="n"/>
      <c r="S26" s="19" t="n"/>
      <c r="T26" s="19" t="n"/>
      <c r="U26" s="19" t="n"/>
      <c r="V26" s="19" t="n"/>
      <c r="W26" s="19" t="n"/>
      <c r="X26" s="19" t="n"/>
      <c r="Y26" s="19" t="n"/>
      <c r="Z26" s="19" t="n"/>
      <c r="AA26" s="19" t="n"/>
      <c r="AB26" s="19" t="n"/>
      <c r="AC26" s="19" t="n"/>
      <c r="AD26" s="19" t="n"/>
      <c r="AE26" s="19" t="n"/>
      <c r="AF26" s="19" t="n"/>
      <c r="AG26" s="19" t="n"/>
      <c r="AH26" s="19" t="n"/>
    </row>
    <row r="27" ht="20" customHeight="1">
      <c r="A27" s="12">
        <f>IF(员工档案!A26="","",员工档案!A26)</f>
        <v/>
      </c>
      <c r="B27" s="12">
        <f>IF(员工档案!B26="","",员工档案!B26)</f>
        <v/>
      </c>
      <c r="C27" s="12">
        <f>IF(员工档案!C26="","",员工档案!C26)</f>
        <v/>
      </c>
      <c r="D27" s="19" t="n"/>
      <c r="E27" s="19" t="n"/>
      <c r="F27" s="19" t="n"/>
      <c r="G27" s="19" t="n"/>
      <c r="H27" s="19" t="n"/>
      <c r="I27" s="19" t="n"/>
      <c r="J27" s="19" t="n"/>
      <c r="K27" s="19" t="n"/>
      <c r="L27" s="19" t="n"/>
      <c r="M27" s="19" t="n"/>
      <c r="N27" s="19" t="n"/>
      <c r="O27" s="19" t="n"/>
      <c r="P27" s="19" t="n"/>
      <c r="Q27" s="19" t="n"/>
      <c r="R27" s="19" t="n"/>
      <c r="S27" s="19" t="n"/>
      <c r="T27" s="19" t="n"/>
      <c r="U27" s="19" t="n"/>
      <c r="V27" s="19" t="n"/>
      <c r="W27" s="19" t="n"/>
      <c r="X27" s="19" t="n"/>
      <c r="Y27" s="19" t="n"/>
      <c r="Z27" s="19" t="n"/>
      <c r="AA27" s="19" t="n"/>
      <c r="AB27" s="19" t="n"/>
      <c r="AC27" s="19" t="n"/>
      <c r="AD27" s="19" t="n"/>
      <c r="AE27" s="19" t="n"/>
      <c r="AF27" s="19" t="n"/>
      <c r="AG27" s="19" t="n"/>
      <c r="AH27" s="19" t="n"/>
    </row>
    <row r="28" ht="20" customHeight="1">
      <c r="A28" s="15">
        <f>IF(员工档案!A27="","",员工档案!A27)</f>
        <v/>
      </c>
      <c r="B28" s="15">
        <f>IF(员工档案!B27="","",员工档案!B27)</f>
        <v/>
      </c>
      <c r="C28" s="15">
        <f>IF(员工档案!C27="","",员工档案!C27)</f>
        <v/>
      </c>
      <c r="D28" s="19" t="n"/>
      <c r="E28" s="19" t="n"/>
      <c r="F28" s="19" t="n"/>
      <c r="G28" s="19" t="n"/>
      <c r="H28" s="19" t="n"/>
      <c r="I28" s="19" t="n"/>
      <c r="J28" s="19" t="n"/>
      <c r="K28" s="19" t="n"/>
      <c r="L28" s="19" t="n"/>
      <c r="M28" s="19" t="n"/>
      <c r="N28" s="19" t="n"/>
      <c r="O28" s="19" t="n"/>
      <c r="P28" s="19" t="n"/>
      <c r="Q28" s="19" t="n"/>
      <c r="R28" s="19" t="n"/>
      <c r="S28" s="19" t="n"/>
      <c r="T28" s="19" t="n"/>
      <c r="U28" s="19" t="n"/>
      <c r="V28" s="19" t="n"/>
      <c r="W28" s="19" t="n"/>
      <c r="X28" s="19" t="n"/>
      <c r="Y28" s="19" t="n"/>
      <c r="Z28" s="19" t="n"/>
      <c r="AA28" s="19" t="n"/>
      <c r="AB28" s="19" t="n"/>
      <c r="AC28" s="19" t="n"/>
      <c r="AD28" s="19" t="n"/>
      <c r="AE28" s="19" t="n"/>
      <c r="AF28" s="19" t="n"/>
      <c r="AG28" s="19" t="n"/>
      <c r="AH28" s="19" t="n"/>
    </row>
    <row r="29" ht="20" customHeight="1">
      <c r="A29" s="12">
        <f>IF(员工档案!A28="","",员工档案!A28)</f>
        <v/>
      </c>
      <c r="B29" s="12">
        <f>IF(员工档案!B28="","",员工档案!B28)</f>
        <v/>
      </c>
      <c r="C29" s="12">
        <f>IF(员工档案!C28="","",员工档案!C28)</f>
        <v/>
      </c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/>
      <c r="Q29" s="19" t="n"/>
      <c r="R29" s="19" t="n"/>
      <c r="S29" s="19" t="n"/>
      <c r="T29" s="19" t="n"/>
      <c r="U29" s="19" t="n"/>
      <c r="V29" s="19" t="n"/>
      <c r="W29" s="19" t="n"/>
      <c r="X29" s="19" t="n"/>
      <c r="Y29" s="19" t="n"/>
      <c r="Z29" s="19" t="n"/>
      <c r="AA29" s="19" t="n"/>
      <c r="AB29" s="19" t="n"/>
      <c r="AC29" s="19" t="n"/>
      <c r="AD29" s="19" t="n"/>
      <c r="AE29" s="19" t="n"/>
      <c r="AF29" s="19" t="n"/>
      <c r="AG29" s="19" t="n"/>
      <c r="AH29" s="19" t="n"/>
    </row>
    <row r="30" ht="20" customHeight="1">
      <c r="A30" s="15">
        <f>IF(员工档案!A29="","",员工档案!A29)</f>
        <v/>
      </c>
      <c r="B30" s="15">
        <f>IF(员工档案!B29="","",员工档案!B29)</f>
        <v/>
      </c>
      <c r="C30" s="15">
        <f>IF(员工档案!C29="","",员工档案!C29)</f>
        <v/>
      </c>
      <c r="D30" s="19" t="n"/>
      <c r="E30" s="19" t="n"/>
      <c r="F30" s="19" t="n"/>
      <c r="G30" s="19" t="n"/>
      <c r="H30" s="19" t="n"/>
      <c r="I30" s="19" t="n"/>
      <c r="J30" s="19" t="n"/>
      <c r="K30" s="19" t="n"/>
      <c r="L30" s="19" t="n"/>
      <c r="M30" s="19" t="n"/>
      <c r="N30" s="19" t="n"/>
      <c r="O30" s="19" t="n"/>
      <c r="P30" s="19" t="n"/>
      <c r="Q30" s="19" t="n"/>
      <c r="R30" s="19" t="n"/>
      <c r="S30" s="19" t="n"/>
      <c r="T30" s="19" t="n"/>
      <c r="U30" s="19" t="n"/>
      <c r="V30" s="19" t="n"/>
      <c r="W30" s="19" t="n"/>
      <c r="X30" s="19" t="n"/>
      <c r="Y30" s="19" t="n"/>
      <c r="Z30" s="19" t="n"/>
      <c r="AA30" s="19" t="n"/>
      <c r="AB30" s="19" t="n"/>
      <c r="AC30" s="19" t="n"/>
      <c r="AD30" s="19" t="n"/>
      <c r="AE30" s="19" t="n"/>
      <c r="AF30" s="19" t="n"/>
      <c r="AG30" s="19" t="n"/>
      <c r="AH30" s="19" t="n"/>
    </row>
    <row r="31" ht="20" customHeight="1">
      <c r="A31" s="12">
        <f>IF(员工档案!A30="","",员工档案!A30)</f>
        <v/>
      </c>
      <c r="B31" s="12">
        <f>IF(员工档案!B30="","",员工档案!B30)</f>
        <v/>
      </c>
      <c r="C31" s="12">
        <f>IF(员工档案!C30="","",员工档案!C30)</f>
        <v/>
      </c>
      <c r="D31" s="19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/>
      <c r="Q31" s="19" t="n"/>
      <c r="R31" s="19" t="n"/>
      <c r="S31" s="19" t="n"/>
      <c r="T31" s="19" t="n"/>
      <c r="U31" s="19" t="n"/>
      <c r="V31" s="19" t="n"/>
      <c r="W31" s="19" t="n"/>
      <c r="X31" s="19" t="n"/>
      <c r="Y31" s="19" t="n"/>
      <c r="Z31" s="19" t="n"/>
      <c r="AA31" s="19" t="n"/>
      <c r="AB31" s="19" t="n"/>
      <c r="AC31" s="19" t="n"/>
      <c r="AD31" s="19" t="n"/>
      <c r="AE31" s="19" t="n"/>
      <c r="AF31" s="19" t="n"/>
      <c r="AG31" s="19" t="n"/>
      <c r="AH31" s="19" t="n"/>
    </row>
    <row r="32" ht="20" customHeight="1">
      <c r="A32" s="15">
        <f>IF(员工档案!A31="","",员工档案!A31)</f>
        <v/>
      </c>
      <c r="B32" s="15">
        <f>IF(员工档案!B31="","",员工档案!B31)</f>
        <v/>
      </c>
      <c r="C32" s="15">
        <f>IF(员工档案!C31="","",员工档案!C31)</f>
        <v/>
      </c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/>
      <c r="Q32" s="19" t="n"/>
      <c r="R32" s="19" t="n"/>
      <c r="S32" s="19" t="n"/>
      <c r="T32" s="19" t="n"/>
      <c r="U32" s="19" t="n"/>
      <c r="V32" s="19" t="n"/>
      <c r="W32" s="19" t="n"/>
      <c r="X32" s="19" t="n"/>
      <c r="Y32" s="19" t="n"/>
      <c r="Z32" s="19" t="n"/>
      <c r="AA32" s="19" t="n"/>
      <c r="AB32" s="19" t="n"/>
      <c r="AC32" s="19" t="n"/>
      <c r="AD32" s="19" t="n"/>
      <c r="AE32" s="19" t="n"/>
      <c r="AF32" s="19" t="n"/>
      <c r="AG32" s="19" t="n"/>
      <c r="AH32" s="19" t="n"/>
    </row>
  </sheetData>
  <mergeCells count="1">
    <mergeCell ref="A1:C1"/>
  </mergeCells>
  <conditionalFormatting sqref="D3:AH32">
    <cfRule type="expression" priority="1" dxfId="0" stopIfTrue="0">
      <formula>D3="出勤"</formula>
    </cfRule>
    <cfRule type="expression" priority="2" dxfId="1" stopIfTrue="0">
      <formula>D3="休息"</formula>
    </cfRule>
    <cfRule type="expression" priority="3" dxfId="2" stopIfTrue="0">
      <formula>D3="事假"</formula>
    </cfRule>
    <cfRule type="expression" priority="4" dxfId="3" stopIfTrue="0">
      <formula>D3="病假"</formula>
    </cfRule>
    <cfRule type="expression" priority="5" dxfId="4" stopIfTrue="0">
      <formula>D3="旷工"</formula>
    </cfRule>
    <cfRule type="expression" priority="6" dxfId="5" stopIfTrue="0">
      <formula>D3="加班"</formula>
    </cfRule>
  </conditionalFormatting>
  <dataValidations count="1">
    <dataValidation sqref="D3:AH3 D4:AH4 D5:AH5 D6:AH6 D7:AH7 D8:AH8 D9:AH9 D10:AH10 D11:AH11 D12:AH12 D13:AH13 D14:AH14 D15:AH15 D16:AH16 D17:AH17 D18:AH18 D19:AH19 D20:AH20 D21:AH21 D22:AH22 D23:AH23 D24:AH24 D25:AH25 D26:AH26 D27:AH27 D28:AH28 D29:AH29 D30:AH30 D31:AH31 D32:AH32" showDropDown="0" showInputMessage="0" showErrorMessage="0" allowBlank="1" errorTitle="只能选这六种状态" error="请从下拉里选：出勤 / 休息 / 事假 / 病假 / 旷工 / 加班" prompt="点右侧箭头选择状态" type="list">
      <formula1>"出勤,休息,事假,病假,旷工,加班"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0" customWidth="1" min="4" max="4"/>
    <col width="9" customWidth="1" min="5" max="5"/>
    <col width="7" customWidth="1" min="6" max="6"/>
    <col width="7" customWidth="1" min="7" max="7"/>
    <col width="7" customWidth="1" min="8" max="8"/>
    <col width="7" customWidth="1" min="9" max="9"/>
    <col width="10" customWidth="1" min="10" max="10"/>
    <col width="9" customWidth="1" min="11" max="11"/>
    <col width="11" customWidth="1" min="12" max="12"/>
    <col width="10" customWidth="1" min="13" max="13"/>
    <col width="11" customWidth="1" min="14" max="14"/>
    <col width="12" customWidth="1" min="15" max="15"/>
    <col width="3" customWidth="1" min="16" max="16"/>
  </cols>
  <sheetData>
    <row r="1" ht="34" customHeight="1">
      <c r="A1" s="20" t="inlineStr">
        <is>
          <t>工号</t>
        </is>
      </c>
      <c r="B1" s="20" t="inlineStr">
        <is>
          <t>姓名</t>
        </is>
      </c>
      <c r="C1" s="20" t="inlineStr">
        <is>
          <t>部门</t>
        </is>
      </c>
      <c r="D1" s="20" t="inlineStr">
        <is>
          <t>月薪</t>
        </is>
      </c>
      <c r="E1" s="20" t="inlineStr">
        <is>
          <t>应出勤</t>
        </is>
      </c>
      <c r="F1" s="20" t="inlineStr">
        <is>
          <t>出勤</t>
        </is>
      </c>
      <c r="G1" s="20" t="inlineStr">
        <is>
          <t>事假</t>
        </is>
      </c>
      <c r="H1" s="20" t="inlineStr">
        <is>
          <t>病假</t>
        </is>
      </c>
      <c r="I1" s="20" t="inlineStr">
        <is>
          <t>旷工</t>
        </is>
      </c>
      <c r="J1" s="20" t="inlineStr">
        <is>
          <t>加班小时</t>
        </is>
      </c>
      <c r="K1" s="20" t="inlineStr">
        <is>
          <t>满勤奖</t>
        </is>
      </c>
      <c r="L1" s="20" t="inlineStr">
        <is>
          <t>基本工资</t>
        </is>
      </c>
      <c r="M1" s="20" t="inlineStr">
        <is>
          <t>加班费</t>
        </is>
      </c>
      <c r="N1" s="20" t="inlineStr">
        <is>
          <t>扣款合计</t>
        </is>
      </c>
      <c r="O1" s="20" t="inlineStr">
        <is>
          <t>应发工资</t>
        </is>
      </c>
    </row>
    <row r="2" ht="21" customHeight="1">
      <c r="A2" s="12">
        <f>IF(考勤录入!A3="","",考勤录入!A3)</f>
        <v/>
      </c>
      <c r="B2" s="12">
        <f>IF(考勤录入!A3="","",考勤录入!B3)</f>
        <v/>
      </c>
      <c r="C2" s="12">
        <f>IF(考勤录入!A3="","",考勤录入!C3)</f>
        <v/>
      </c>
      <c r="D2" s="21">
        <f>IF($A2="","",IFERROR(VLOOKUP($A2,员工档案!$A$2:$G$40,5,0),0))</f>
        <v/>
      </c>
      <c r="E2" s="12">
        <f>IF($A2="","",ROUND(参数设置!$C$5,1))</f>
        <v/>
      </c>
      <c r="F2" s="12">
        <f>IF($A2="","",COUNTIF(考勤录入!$D3:$AH3,"出勤"))</f>
        <v/>
      </c>
      <c r="G2" s="12">
        <f>IF($A2="","",COUNTIF(考勤录入!$D3:$AH3,"事假"))</f>
        <v/>
      </c>
      <c r="H2" s="12">
        <f>IF($A2="","",COUNTIF(考勤录入!$D3:$AH3,"病假"))</f>
        <v/>
      </c>
      <c r="I2" s="12">
        <f>IF($A2="","",COUNTIF(考勤录入!$D3:$AH3,"旷工"))</f>
        <v/>
      </c>
      <c r="J2" s="22">
        <f>IF($A2="","",0)</f>
        <v/>
      </c>
      <c r="K2" s="21">
        <f>IF($A2="","",IF(AND(G2=0,H2=0,I2=0,F2&gt;0),参数设置!$C$10,0))</f>
        <v/>
      </c>
      <c r="L2" s="21">
        <f>IF($A2="","",ROUND($D2/参数设置!$C$5*$F2,2))</f>
        <v/>
      </c>
      <c r="M2" s="21">
        <f>IF($A2="","",ROUND($D2/参数设置!$C$5/8*$J2*参数设置!$C$6,2))</f>
        <v/>
      </c>
      <c r="N2" s="21">
        <f>IF($A2="","",ROUND($D2/参数设置!$C$5*(G2*参数设置!$C$7+H2*参数设置!$C$8+I2*参数设置!$C$9),2))</f>
        <v/>
      </c>
      <c r="O2" s="21">
        <f>IF($A2="","",ROUND(L2+M2+K2-N2,2))</f>
        <v/>
      </c>
    </row>
    <row r="3" ht="21" customHeight="1">
      <c r="A3" s="15">
        <f>IF(考勤录入!A4="","",考勤录入!A4)</f>
        <v/>
      </c>
      <c r="B3" s="15">
        <f>IF(考勤录入!A4="","",考勤录入!B4)</f>
        <v/>
      </c>
      <c r="C3" s="15">
        <f>IF(考勤录入!A4="","",考勤录入!C4)</f>
        <v/>
      </c>
      <c r="D3" s="23">
        <f>IF($A3="","",IFERROR(VLOOKUP($A3,员工档案!$A$2:$G$40,5,0),0))</f>
        <v/>
      </c>
      <c r="E3" s="15">
        <f>IF($A3="","",ROUND(参数设置!$C$5,1))</f>
        <v/>
      </c>
      <c r="F3" s="15">
        <f>IF($A3="","",COUNTIF(考勤录入!$D4:$AH4,"出勤"))</f>
        <v/>
      </c>
      <c r="G3" s="15">
        <f>IF($A3="","",COUNTIF(考勤录入!$D4:$AH4,"事假"))</f>
        <v/>
      </c>
      <c r="H3" s="15">
        <f>IF($A3="","",COUNTIF(考勤录入!$D4:$AH4,"病假"))</f>
        <v/>
      </c>
      <c r="I3" s="15">
        <f>IF($A3="","",COUNTIF(考勤录入!$D4:$AH4,"旷工"))</f>
        <v/>
      </c>
      <c r="J3" s="22">
        <f>IF($A3="","",0)</f>
        <v/>
      </c>
      <c r="K3" s="23">
        <f>IF($A3="","",IF(AND(G3=0,H3=0,I3=0,F3&gt;0),参数设置!$C$10,0))</f>
        <v/>
      </c>
      <c r="L3" s="23">
        <f>IF($A3="","",ROUND($D3/参数设置!$C$5*$F3,2))</f>
        <v/>
      </c>
      <c r="M3" s="23">
        <f>IF($A3="","",ROUND($D3/参数设置!$C$5/8*$J3*参数设置!$C$6,2))</f>
        <v/>
      </c>
      <c r="N3" s="23">
        <f>IF($A3="","",ROUND($D3/参数设置!$C$5*(G3*参数设置!$C$7+H3*参数设置!$C$8+I3*参数设置!$C$9),2))</f>
        <v/>
      </c>
      <c r="O3" s="23">
        <f>IF($A3="","",ROUND(L3+M3+K3-N3,2))</f>
        <v/>
      </c>
    </row>
    <row r="4" ht="21" customHeight="1">
      <c r="A4" s="12">
        <f>IF(考勤录入!A5="","",考勤录入!A5)</f>
        <v/>
      </c>
      <c r="B4" s="12">
        <f>IF(考勤录入!A5="","",考勤录入!B5)</f>
        <v/>
      </c>
      <c r="C4" s="12">
        <f>IF(考勤录入!A5="","",考勤录入!C5)</f>
        <v/>
      </c>
      <c r="D4" s="21">
        <f>IF($A4="","",IFERROR(VLOOKUP($A4,员工档案!$A$2:$G$40,5,0),0))</f>
        <v/>
      </c>
      <c r="E4" s="12">
        <f>IF($A4="","",ROUND(参数设置!$C$5,1))</f>
        <v/>
      </c>
      <c r="F4" s="12">
        <f>IF($A4="","",COUNTIF(考勤录入!$D5:$AH5,"出勤"))</f>
        <v/>
      </c>
      <c r="G4" s="12">
        <f>IF($A4="","",COUNTIF(考勤录入!$D5:$AH5,"事假"))</f>
        <v/>
      </c>
      <c r="H4" s="12">
        <f>IF($A4="","",COUNTIF(考勤录入!$D5:$AH5,"病假"))</f>
        <v/>
      </c>
      <c r="I4" s="12">
        <f>IF($A4="","",COUNTIF(考勤录入!$D5:$AH5,"旷工"))</f>
        <v/>
      </c>
      <c r="J4" s="22">
        <f>IF($A4="","",0)</f>
        <v/>
      </c>
      <c r="K4" s="21">
        <f>IF($A4="","",IF(AND(G4=0,H4=0,I4=0,F4&gt;0),参数设置!$C$10,0))</f>
        <v/>
      </c>
      <c r="L4" s="21">
        <f>IF($A4="","",ROUND($D4/参数设置!$C$5*$F4,2))</f>
        <v/>
      </c>
      <c r="M4" s="21">
        <f>IF($A4="","",ROUND($D4/参数设置!$C$5/8*$J4*参数设置!$C$6,2))</f>
        <v/>
      </c>
      <c r="N4" s="21">
        <f>IF($A4="","",ROUND($D4/参数设置!$C$5*(G4*参数设置!$C$7+H4*参数设置!$C$8+I4*参数设置!$C$9),2))</f>
        <v/>
      </c>
      <c r="O4" s="21">
        <f>IF($A4="","",ROUND(L4+M4+K4-N4,2))</f>
        <v/>
      </c>
    </row>
    <row r="5" ht="21" customHeight="1">
      <c r="A5" s="15">
        <f>IF(考勤录入!A6="","",考勤录入!A6)</f>
        <v/>
      </c>
      <c r="B5" s="15">
        <f>IF(考勤录入!A6="","",考勤录入!B6)</f>
        <v/>
      </c>
      <c r="C5" s="15">
        <f>IF(考勤录入!A6="","",考勤录入!C6)</f>
        <v/>
      </c>
      <c r="D5" s="23">
        <f>IF($A5="","",IFERROR(VLOOKUP($A5,员工档案!$A$2:$G$40,5,0),0))</f>
        <v/>
      </c>
      <c r="E5" s="15">
        <f>IF($A5="","",ROUND(参数设置!$C$5,1))</f>
        <v/>
      </c>
      <c r="F5" s="15">
        <f>IF($A5="","",COUNTIF(考勤录入!$D6:$AH6,"出勤"))</f>
        <v/>
      </c>
      <c r="G5" s="15">
        <f>IF($A5="","",COUNTIF(考勤录入!$D6:$AH6,"事假"))</f>
        <v/>
      </c>
      <c r="H5" s="15">
        <f>IF($A5="","",COUNTIF(考勤录入!$D6:$AH6,"病假"))</f>
        <v/>
      </c>
      <c r="I5" s="15">
        <f>IF($A5="","",COUNTIF(考勤录入!$D6:$AH6,"旷工"))</f>
        <v/>
      </c>
      <c r="J5" s="22">
        <f>IF($A5="","",0)</f>
        <v/>
      </c>
      <c r="K5" s="23">
        <f>IF($A5="","",IF(AND(G5=0,H5=0,I5=0,F5&gt;0),参数设置!$C$10,0))</f>
        <v/>
      </c>
      <c r="L5" s="23">
        <f>IF($A5="","",ROUND($D5/参数设置!$C$5*$F5,2))</f>
        <v/>
      </c>
      <c r="M5" s="23">
        <f>IF($A5="","",ROUND($D5/参数设置!$C$5/8*$J5*参数设置!$C$6,2))</f>
        <v/>
      </c>
      <c r="N5" s="23">
        <f>IF($A5="","",ROUND($D5/参数设置!$C$5*(G5*参数设置!$C$7+H5*参数设置!$C$8+I5*参数设置!$C$9),2))</f>
        <v/>
      </c>
      <c r="O5" s="23">
        <f>IF($A5="","",ROUND(L5+M5+K5-N5,2))</f>
        <v/>
      </c>
    </row>
    <row r="6" ht="21" customHeight="1">
      <c r="A6" s="12">
        <f>IF(考勤录入!A7="","",考勤录入!A7)</f>
        <v/>
      </c>
      <c r="B6" s="12">
        <f>IF(考勤录入!A7="","",考勤录入!B7)</f>
        <v/>
      </c>
      <c r="C6" s="12">
        <f>IF(考勤录入!A7="","",考勤录入!C7)</f>
        <v/>
      </c>
      <c r="D6" s="21">
        <f>IF($A6="","",IFERROR(VLOOKUP($A6,员工档案!$A$2:$G$40,5,0),0))</f>
        <v/>
      </c>
      <c r="E6" s="12">
        <f>IF($A6="","",ROUND(参数设置!$C$5,1))</f>
        <v/>
      </c>
      <c r="F6" s="12">
        <f>IF($A6="","",COUNTIF(考勤录入!$D7:$AH7,"出勤"))</f>
        <v/>
      </c>
      <c r="G6" s="12">
        <f>IF($A6="","",COUNTIF(考勤录入!$D7:$AH7,"事假"))</f>
        <v/>
      </c>
      <c r="H6" s="12">
        <f>IF($A6="","",COUNTIF(考勤录入!$D7:$AH7,"病假"))</f>
        <v/>
      </c>
      <c r="I6" s="12">
        <f>IF($A6="","",COUNTIF(考勤录入!$D7:$AH7,"旷工"))</f>
        <v/>
      </c>
      <c r="J6" s="22">
        <f>IF($A6="","",0)</f>
        <v/>
      </c>
      <c r="K6" s="21">
        <f>IF($A6="","",IF(AND(G6=0,H6=0,I6=0,F6&gt;0),参数设置!$C$10,0))</f>
        <v/>
      </c>
      <c r="L6" s="21">
        <f>IF($A6="","",ROUND($D6/参数设置!$C$5*$F6,2))</f>
        <v/>
      </c>
      <c r="M6" s="21">
        <f>IF($A6="","",ROUND($D6/参数设置!$C$5/8*$J6*参数设置!$C$6,2))</f>
        <v/>
      </c>
      <c r="N6" s="21">
        <f>IF($A6="","",ROUND($D6/参数设置!$C$5*(G6*参数设置!$C$7+H6*参数设置!$C$8+I6*参数设置!$C$9),2))</f>
        <v/>
      </c>
      <c r="O6" s="21">
        <f>IF($A6="","",ROUND(L6+M6+K6-N6,2))</f>
        <v/>
      </c>
    </row>
    <row r="7" ht="21" customHeight="1">
      <c r="A7" s="15">
        <f>IF(考勤录入!A8="","",考勤录入!A8)</f>
        <v/>
      </c>
      <c r="B7" s="15">
        <f>IF(考勤录入!A8="","",考勤录入!B8)</f>
        <v/>
      </c>
      <c r="C7" s="15">
        <f>IF(考勤录入!A8="","",考勤录入!C8)</f>
        <v/>
      </c>
      <c r="D7" s="23">
        <f>IF($A7="","",IFERROR(VLOOKUP($A7,员工档案!$A$2:$G$40,5,0),0))</f>
        <v/>
      </c>
      <c r="E7" s="15">
        <f>IF($A7="","",ROUND(参数设置!$C$5,1))</f>
        <v/>
      </c>
      <c r="F7" s="15">
        <f>IF($A7="","",COUNTIF(考勤录入!$D8:$AH8,"出勤"))</f>
        <v/>
      </c>
      <c r="G7" s="15">
        <f>IF($A7="","",COUNTIF(考勤录入!$D8:$AH8,"事假"))</f>
        <v/>
      </c>
      <c r="H7" s="15">
        <f>IF($A7="","",COUNTIF(考勤录入!$D8:$AH8,"病假"))</f>
        <v/>
      </c>
      <c r="I7" s="15">
        <f>IF($A7="","",COUNTIF(考勤录入!$D8:$AH8,"旷工"))</f>
        <v/>
      </c>
      <c r="J7" s="22">
        <f>IF($A7="","",0)</f>
        <v/>
      </c>
      <c r="K7" s="23">
        <f>IF($A7="","",IF(AND(G7=0,H7=0,I7=0,F7&gt;0),参数设置!$C$10,0))</f>
        <v/>
      </c>
      <c r="L7" s="23">
        <f>IF($A7="","",ROUND($D7/参数设置!$C$5*$F7,2))</f>
        <v/>
      </c>
      <c r="M7" s="23">
        <f>IF($A7="","",ROUND($D7/参数设置!$C$5/8*$J7*参数设置!$C$6,2))</f>
        <v/>
      </c>
      <c r="N7" s="23">
        <f>IF($A7="","",ROUND($D7/参数设置!$C$5*(G7*参数设置!$C$7+H7*参数设置!$C$8+I7*参数设置!$C$9),2))</f>
        <v/>
      </c>
      <c r="O7" s="23">
        <f>IF($A7="","",ROUND(L7+M7+K7-N7,2))</f>
        <v/>
      </c>
    </row>
    <row r="8" ht="21" customHeight="1">
      <c r="A8" s="12">
        <f>IF(考勤录入!A9="","",考勤录入!A9)</f>
        <v/>
      </c>
      <c r="B8" s="12">
        <f>IF(考勤录入!A9="","",考勤录入!B9)</f>
        <v/>
      </c>
      <c r="C8" s="12">
        <f>IF(考勤录入!A9="","",考勤录入!C9)</f>
        <v/>
      </c>
      <c r="D8" s="21">
        <f>IF($A8="","",IFERROR(VLOOKUP($A8,员工档案!$A$2:$G$40,5,0),0))</f>
        <v/>
      </c>
      <c r="E8" s="12">
        <f>IF($A8="","",ROUND(参数设置!$C$5,1))</f>
        <v/>
      </c>
      <c r="F8" s="12">
        <f>IF($A8="","",COUNTIF(考勤录入!$D9:$AH9,"出勤"))</f>
        <v/>
      </c>
      <c r="G8" s="12">
        <f>IF($A8="","",COUNTIF(考勤录入!$D9:$AH9,"事假"))</f>
        <v/>
      </c>
      <c r="H8" s="12">
        <f>IF($A8="","",COUNTIF(考勤录入!$D9:$AH9,"病假"))</f>
        <v/>
      </c>
      <c r="I8" s="12">
        <f>IF($A8="","",COUNTIF(考勤录入!$D9:$AH9,"旷工"))</f>
        <v/>
      </c>
      <c r="J8" s="22">
        <f>IF($A8="","",0)</f>
        <v/>
      </c>
      <c r="K8" s="21">
        <f>IF($A8="","",IF(AND(G8=0,H8=0,I8=0,F8&gt;0),参数设置!$C$10,0))</f>
        <v/>
      </c>
      <c r="L8" s="21">
        <f>IF($A8="","",ROUND($D8/参数设置!$C$5*$F8,2))</f>
        <v/>
      </c>
      <c r="M8" s="21">
        <f>IF($A8="","",ROUND($D8/参数设置!$C$5/8*$J8*参数设置!$C$6,2))</f>
        <v/>
      </c>
      <c r="N8" s="21">
        <f>IF($A8="","",ROUND($D8/参数设置!$C$5*(G8*参数设置!$C$7+H8*参数设置!$C$8+I8*参数设置!$C$9),2))</f>
        <v/>
      </c>
      <c r="O8" s="21">
        <f>IF($A8="","",ROUND(L8+M8+K8-N8,2))</f>
        <v/>
      </c>
    </row>
    <row r="9" ht="21" customHeight="1">
      <c r="A9" s="15">
        <f>IF(考勤录入!A10="","",考勤录入!A10)</f>
        <v/>
      </c>
      <c r="B9" s="15">
        <f>IF(考勤录入!A10="","",考勤录入!B10)</f>
        <v/>
      </c>
      <c r="C9" s="15">
        <f>IF(考勤录入!A10="","",考勤录入!C10)</f>
        <v/>
      </c>
      <c r="D9" s="23">
        <f>IF($A9="","",IFERROR(VLOOKUP($A9,员工档案!$A$2:$G$40,5,0),0))</f>
        <v/>
      </c>
      <c r="E9" s="15">
        <f>IF($A9="","",ROUND(参数设置!$C$5,1))</f>
        <v/>
      </c>
      <c r="F9" s="15">
        <f>IF($A9="","",COUNTIF(考勤录入!$D10:$AH10,"出勤"))</f>
        <v/>
      </c>
      <c r="G9" s="15">
        <f>IF($A9="","",COUNTIF(考勤录入!$D10:$AH10,"事假"))</f>
        <v/>
      </c>
      <c r="H9" s="15">
        <f>IF($A9="","",COUNTIF(考勤录入!$D10:$AH10,"病假"))</f>
        <v/>
      </c>
      <c r="I9" s="15">
        <f>IF($A9="","",COUNTIF(考勤录入!$D10:$AH10,"旷工"))</f>
        <v/>
      </c>
      <c r="J9" s="22">
        <f>IF($A9="","",0)</f>
        <v/>
      </c>
      <c r="K9" s="23">
        <f>IF($A9="","",IF(AND(G9=0,H9=0,I9=0,F9&gt;0),参数设置!$C$10,0))</f>
        <v/>
      </c>
      <c r="L9" s="23">
        <f>IF($A9="","",ROUND($D9/参数设置!$C$5*$F9,2))</f>
        <v/>
      </c>
      <c r="M9" s="23">
        <f>IF($A9="","",ROUND($D9/参数设置!$C$5/8*$J9*参数设置!$C$6,2))</f>
        <v/>
      </c>
      <c r="N9" s="23">
        <f>IF($A9="","",ROUND($D9/参数设置!$C$5*(G9*参数设置!$C$7+H9*参数设置!$C$8+I9*参数设置!$C$9),2))</f>
        <v/>
      </c>
      <c r="O9" s="23">
        <f>IF($A9="","",ROUND(L9+M9+K9-N9,2))</f>
        <v/>
      </c>
    </row>
    <row r="10" ht="21" customHeight="1">
      <c r="A10" s="12">
        <f>IF(考勤录入!A11="","",考勤录入!A11)</f>
        <v/>
      </c>
      <c r="B10" s="12">
        <f>IF(考勤录入!A11="","",考勤录入!B11)</f>
        <v/>
      </c>
      <c r="C10" s="12">
        <f>IF(考勤录入!A11="","",考勤录入!C11)</f>
        <v/>
      </c>
      <c r="D10" s="21">
        <f>IF($A10="","",IFERROR(VLOOKUP($A10,员工档案!$A$2:$G$40,5,0),0))</f>
        <v/>
      </c>
      <c r="E10" s="12">
        <f>IF($A10="","",ROUND(参数设置!$C$5,1))</f>
        <v/>
      </c>
      <c r="F10" s="12">
        <f>IF($A10="","",COUNTIF(考勤录入!$D11:$AH11,"出勤"))</f>
        <v/>
      </c>
      <c r="G10" s="12">
        <f>IF($A10="","",COUNTIF(考勤录入!$D11:$AH11,"事假"))</f>
        <v/>
      </c>
      <c r="H10" s="12">
        <f>IF($A10="","",COUNTIF(考勤录入!$D11:$AH11,"病假"))</f>
        <v/>
      </c>
      <c r="I10" s="12">
        <f>IF($A10="","",COUNTIF(考勤录入!$D11:$AH11,"旷工"))</f>
        <v/>
      </c>
      <c r="J10" s="22">
        <f>IF($A10="","",0)</f>
        <v/>
      </c>
      <c r="K10" s="21">
        <f>IF($A10="","",IF(AND(G10=0,H10=0,I10=0,F10&gt;0),参数设置!$C$10,0))</f>
        <v/>
      </c>
      <c r="L10" s="21">
        <f>IF($A10="","",ROUND($D10/参数设置!$C$5*$F10,2))</f>
        <v/>
      </c>
      <c r="M10" s="21">
        <f>IF($A10="","",ROUND($D10/参数设置!$C$5/8*$J10*参数设置!$C$6,2))</f>
        <v/>
      </c>
      <c r="N10" s="21">
        <f>IF($A10="","",ROUND($D10/参数设置!$C$5*(G10*参数设置!$C$7+H10*参数设置!$C$8+I10*参数设置!$C$9),2))</f>
        <v/>
      </c>
      <c r="O10" s="21">
        <f>IF($A10="","",ROUND(L10+M10+K10-N10,2))</f>
        <v/>
      </c>
    </row>
    <row r="11" ht="21" customHeight="1">
      <c r="A11" s="15">
        <f>IF(考勤录入!A12="","",考勤录入!A12)</f>
        <v/>
      </c>
      <c r="B11" s="15">
        <f>IF(考勤录入!A12="","",考勤录入!B12)</f>
        <v/>
      </c>
      <c r="C11" s="15">
        <f>IF(考勤录入!A12="","",考勤录入!C12)</f>
        <v/>
      </c>
      <c r="D11" s="23">
        <f>IF($A11="","",IFERROR(VLOOKUP($A11,员工档案!$A$2:$G$40,5,0),0))</f>
        <v/>
      </c>
      <c r="E11" s="15">
        <f>IF($A11="","",ROUND(参数设置!$C$5,1))</f>
        <v/>
      </c>
      <c r="F11" s="15">
        <f>IF($A11="","",COUNTIF(考勤录入!$D12:$AH12,"出勤"))</f>
        <v/>
      </c>
      <c r="G11" s="15">
        <f>IF($A11="","",COUNTIF(考勤录入!$D12:$AH12,"事假"))</f>
        <v/>
      </c>
      <c r="H11" s="15">
        <f>IF($A11="","",COUNTIF(考勤录入!$D12:$AH12,"病假"))</f>
        <v/>
      </c>
      <c r="I11" s="15">
        <f>IF($A11="","",COUNTIF(考勤录入!$D12:$AH12,"旷工"))</f>
        <v/>
      </c>
      <c r="J11" s="22">
        <f>IF($A11="","",0)</f>
        <v/>
      </c>
      <c r="K11" s="23">
        <f>IF($A11="","",IF(AND(G11=0,H11=0,I11=0,F11&gt;0),参数设置!$C$10,0))</f>
        <v/>
      </c>
      <c r="L11" s="23">
        <f>IF($A11="","",ROUND($D11/参数设置!$C$5*$F11,2))</f>
        <v/>
      </c>
      <c r="M11" s="23">
        <f>IF($A11="","",ROUND($D11/参数设置!$C$5/8*$J11*参数设置!$C$6,2))</f>
        <v/>
      </c>
      <c r="N11" s="23">
        <f>IF($A11="","",ROUND($D11/参数设置!$C$5*(G11*参数设置!$C$7+H11*参数设置!$C$8+I11*参数设置!$C$9),2))</f>
        <v/>
      </c>
      <c r="O11" s="23">
        <f>IF($A11="","",ROUND(L11+M11+K11-N11,2))</f>
        <v/>
      </c>
    </row>
    <row r="12" ht="21" customHeight="1">
      <c r="A12" s="12">
        <f>IF(考勤录入!A13="","",考勤录入!A13)</f>
        <v/>
      </c>
      <c r="B12" s="12">
        <f>IF(考勤录入!A13="","",考勤录入!B13)</f>
        <v/>
      </c>
      <c r="C12" s="12">
        <f>IF(考勤录入!A13="","",考勤录入!C13)</f>
        <v/>
      </c>
      <c r="D12" s="21">
        <f>IF($A12="","",IFERROR(VLOOKUP($A12,员工档案!$A$2:$G$40,5,0),0))</f>
        <v/>
      </c>
      <c r="E12" s="12">
        <f>IF($A12="","",ROUND(参数设置!$C$5,1))</f>
        <v/>
      </c>
      <c r="F12" s="12">
        <f>IF($A12="","",COUNTIF(考勤录入!$D13:$AH13,"出勤"))</f>
        <v/>
      </c>
      <c r="G12" s="12">
        <f>IF($A12="","",COUNTIF(考勤录入!$D13:$AH13,"事假"))</f>
        <v/>
      </c>
      <c r="H12" s="12">
        <f>IF($A12="","",COUNTIF(考勤录入!$D13:$AH13,"病假"))</f>
        <v/>
      </c>
      <c r="I12" s="12">
        <f>IF($A12="","",COUNTIF(考勤录入!$D13:$AH13,"旷工"))</f>
        <v/>
      </c>
      <c r="J12" s="22">
        <f>IF($A12="","",0)</f>
        <v/>
      </c>
      <c r="K12" s="21">
        <f>IF($A12="","",IF(AND(G12=0,H12=0,I12=0,F12&gt;0),参数设置!$C$10,0))</f>
        <v/>
      </c>
      <c r="L12" s="21">
        <f>IF($A12="","",ROUND($D12/参数设置!$C$5*$F12,2))</f>
        <v/>
      </c>
      <c r="M12" s="21">
        <f>IF($A12="","",ROUND($D12/参数设置!$C$5/8*$J12*参数设置!$C$6,2))</f>
        <v/>
      </c>
      <c r="N12" s="21">
        <f>IF($A12="","",ROUND($D12/参数设置!$C$5*(G12*参数设置!$C$7+H12*参数设置!$C$8+I12*参数设置!$C$9),2))</f>
        <v/>
      </c>
      <c r="O12" s="21">
        <f>IF($A12="","",ROUND(L12+M12+K12-N12,2))</f>
        <v/>
      </c>
    </row>
    <row r="13" ht="21" customHeight="1">
      <c r="A13" s="15">
        <f>IF(考勤录入!A14="","",考勤录入!A14)</f>
        <v/>
      </c>
      <c r="B13" s="15">
        <f>IF(考勤录入!A14="","",考勤录入!B14)</f>
        <v/>
      </c>
      <c r="C13" s="15">
        <f>IF(考勤录入!A14="","",考勤录入!C14)</f>
        <v/>
      </c>
      <c r="D13" s="23">
        <f>IF($A13="","",IFERROR(VLOOKUP($A13,员工档案!$A$2:$G$40,5,0),0))</f>
        <v/>
      </c>
      <c r="E13" s="15">
        <f>IF($A13="","",ROUND(参数设置!$C$5,1))</f>
        <v/>
      </c>
      <c r="F13" s="15">
        <f>IF($A13="","",COUNTIF(考勤录入!$D14:$AH14,"出勤"))</f>
        <v/>
      </c>
      <c r="G13" s="15">
        <f>IF($A13="","",COUNTIF(考勤录入!$D14:$AH14,"事假"))</f>
        <v/>
      </c>
      <c r="H13" s="15">
        <f>IF($A13="","",COUNTIF(考勤录入!$D14:$AH14,"病假"))</f>
        <v/>
      </c>
      <c r="I13" s="15">
        <f>IF($A13="","",COUNTIF(考勤录入!$D14:$AH14,"旷工"))</f>
        <v/>
      </c>
      <c r="J13" s="22">
        <f>IF($A13="","",0)</f>
        <v/>
      </c>
      <c r="K13" s="23">
        <f>IF($A13="","",IF(AND(G13=0,H13=0,I13=0,F13&gt;0),参数设置!$C$10,0))</f>
        <v/>
      </c>
      <c r="L13" s="23">
        <f>IF($A13="","",ROUND($D13/参数设置!$C$5*$F13,2))</f>
        <v/>
      </c>
      <c r="M13" s="23">
        <f>IF($A13="","",ROUND($D13/参数设置!$C$5/8*$J13*参数设置!$C$6,2))</f>
        <v/>
      </c>
      <c r="N13" s="23">
        <f>IF($A13="","",ROUND($D13/参数设置!$C$5*(G13*参数设置!$C$7+H13*参数设置!$C$8+I13*参数设置!$C$9),2))</f>
        <v/>
      </c>
      <c r="O13" s="23">
        <f>IF($A13="","",ROUND(L13+M13+K13-N13,2))</f>
        <v/>
      </c>
    </row>
    <row r="14" ht="21" customHeight="1">
      <c r="A14" s="12">
        <f>IF(考勤录入!A15="","",考勤录入!A15)</f>
        <v/>
      </c>
      <c r="B14" s="12">
        <f>IF(考勤录入!A15="","",考勤录入!B15)</f>
        <v/>
      </c>
      <c r="C14" s="12">
        <f>IF(考勤录入!A15="","",考勤录入!C15)</f>
        <v/>
      </c>
      <c r="D14" s="21">
        <f>IF($A14="","",IFERROR(VLOOKUP($A14,员工档案!$A$2:$G$40,5,0),0))</f>
        <v/>
      </c>
      <c r="E14" s="12">
        <f>IF($A14="","",ROUND(参数设置!$C$5,1))</f>
        <v/>
      </c>
      <c r="F14" s="12">
        <f>IF($A14="","",COUNTIF(考勤录入!$D15:$AH15,"出勤"))</f>
        <v/>
      </c>
      <c r="G14" s="12">
        <f>IF($A14="","",COUNTIF(考勤录入!$D15:$AH15,"事假"))</f>
        <v/>
      </c>
      <c r="H14" s="12">
        <f>IF($A14="","",COUNTIF(考勤录入!$D15:$AH15,"病假"))</f>
        <v/>
      </c>
      <c r="I14" s="12">
        <f>IF($A14="","",COUNTIF(考勤录入!$D15:$AH15,"旷工"))</f>
        <v/>
      </c>
      <c r="J14" s="22">
        <f>IF($A14="","",0)</f>
        <v/>
      </c>
      <c r="K14" s="21">
        <f>IF($A14="","",IF(AND(G14=0,H14=0,I14=0,F14&gt;0),参数设置!$C$10,0))</f>
        <v/>
      </c>
      <c r="L14" s="21">
        <f>IF($A14="","",ROUND($D14/参数设置!$C$5*$F14,2))</f>
        <v/>
      </c>
      <c r="M14" s="21">
        <f>IF($A14="","",ROUND($D14/参数设置!$C$5/8*$J14*参数设置!$C$6,2))</f>
        <v/>
      </c>
      <c r="N14" s="21">
        <f>IF($A14="","",ROUND($D14/参数设置!$C$5*(G14*参数设置!$C$7+H14*参数设置!$C$8+I14*参数设置!$C$9),2))</f>
        <v/>
      </c>
      <c r="O14" s="21">
        <f>IF($A14="","",ROUND(L14+M14+K14-N14,2))</f>
        <v/>
      </c>
    </row>
    <row r="15" ht="21" customHeight="1">
      <c r="A15" s="15">
        <f>IF(考勤录入!A16="","",考勤录入!A16)</f>
        <v/>
      </c>
      <c r="B15" s="15">
        <f>IF(考勤录入!A16="","",考勤录入!B16)</f>
        <v/>
      </c>
      <c r="C15" s="15">
        <f>IF(考勤录入!A16="","",考勤录入!C16)</f>
        <v/>
      </c>
      <c r="D15" s="23">
        <f>IF($A15="","",IFERROR(VLOOKUP($A15,员工档案!$A$2:$G$40,5,0),0))</f>
        <v/>
      </c>
      <c r="E15" s="15">
        <f>IF($A15="","",ROUND(参数设置!$C$5,1))</f>
        <v/>
      </c>
      <c r="F15" s="15">
        <f>IF($A15="","",COUNTIF(考勤录入!$D16:$AH16,"出勤"))</f>
        <v/>
      </c>
      <c r="G15" s="15">
        <f>IF($A15="","",COUNTIF(考勤录入!$D16:$AH16,"事假"))</f>
        <v/>
      </c>
      <c r="H15" s="15">
        <f>IF($A15="","",COUNTIF(考勤录入!$D16:$AH16,"病假"))</f>
        <v/>
      </c>
      <c r="I15" s="15">
        <f>IF($A15="","",COUNTIF(考勤录入!$D16:$AH16,"旷工"))</f>
        <v/>
      </c>
      <c r="J15" s="22">
        <f>IF($A15="","",0)</f>
        <v/>
      </c>
      <c r="K15" s="23">
        <f>IF($A15="","",IF(AND(G15=0,H15=0,I15=0,F15&gt;0),参数设置!$C$10,0))</f>
        <v/>
      </c>
      <c r="L15" s="23">
        <f>IF($A15="","",ROUND($D15/参数设置!$C$5*$F15,2))</f>
        <v/>
      </c>
      <c r="M15" s="23">
        <f>IF($A15="","",ROUND($D15/参数设置!$C$5/8*$J15*参数设置!$C$6,2))</f>
        <v/>
      </c>
      <c r="N15" s="23">
        <f>IF($A15="","",ROUND($D15/参数设置!$C$5*(G15*参数设置!$C$7+H15*参数设置!$C$8+I15*参数设置!$C$9),2))</f>
        <v/>
      </c>
      <c r="O15" s="23">
        <f>IF($A15="","",ROUND(L15+M15+K15-N15,2))</f>
        <v/>
      </c>
    </row>
    <row r="16" ht="21" customHeight="1">
      <c r="A16" s="12">
        <f>IF(考勤录入!A17="","",考勤录入!A17)</f>
        <v/>
      </c>
      <c r="B16" s="12">
        <f>IF(考勤录入!A17="","",考勤录入!B17)</f>
        <v/>
      </c>
      <c r="C16" s="12">
        <f>IF(考勤录入!A17="","",考勤录入!C17)</f>
        <v/>
      </c>
      <c r="D16" s="21">
        <f>IF($A16="","",IFERROR(VLOOKUP($A16,员工档案!$A$2:$G$40,5,0),0))</f>
        <v/>
      </c>
      <c r="E16" s="12">
        <f>IF($A16="","",ROUND(参数设置!$C$5,1))</f>
        <v/>
      </c>
      <c r="F16" s="12">
        <f>IF($A16="","",COUNTIF(考勤录入!$D17:$AH17,"出勤"))</f>
        <v/>
      </c>
      <c r="G16" s="12">
        <f>IF($A16="","",COUNTIF(考勤录入!$D17:$AH17,"事假"))</f>
        <v/>
      </c>
      <c r="H16" s="12">
        <f>IF($A16="","",COUNTIF(考勤录入!$D17:$AH17,"病假"))</f>
        <v/>
      </c>
      <c r="I16" s="12">
        <f>IF($A16="","",COUNTIF(考勤录入!$D17:$AH17,"旷工"))</f>
        <v/>
      </c>
      <c r="J16" s="22">
        <f>IF($A16="","",0)</f>
        <v/>
      </c>
      <c r="K16" s="21">
        <f>IF($A16="","",IF(AND(G16=0,H16=0,I16=0,F16&gt;0),参数设置!$C$10,0))</f>
        <v/>
      </c>
      <c r="L16" s="21">
        <f>IF($A16="","",ROUND($D16/参数设置!$C$5*$F16,2))</f>
        <v/>
      </c>
      <c r="M16" s="21">
        <f>IF($A16="","",ROUND($D16/参数设置!$C$5/8*$J16*参数设置!$C$6,2))</f>
        <v/>
      </c>
      <c r="N16" s="21">
        <f>IF($A16="","",ROUND($D16/参数设置!$C$5*(G16*参数设置!$C$7+H16*参数设置!$C$8+I16*参数设置!$C$9),2))</f>
        <v/>
      </c>
      <c r="O16" s="21">
        <f>IF($A16="","",ROUND(L16+M16+K16-N16,2))</f>
        <v/>
      </c>
    </row>
    <row r="17" ht="21" customHeight="1">
      <c r="A17" s="15">
        <f>IF(考勤录入!A18="","",考勤录入!A18)</f>
        <v/>
      </c>
      <c r="B17" s="15">
        <f>IF(考勤录入!A18="","",考勤录入!B18)</f>
        <v/>
      </c>
      <c r="C17" s="15">
        <f>IF(考勤录入!A18="","",考勤录入!C18)</f>
        <v/>
      </c>
      <c r="D17" s="23">
        <f>IF($A17="","",IFERROR(VLOOKUP($A17,员工档案!$A$2:$G$40,5,0),0))</f>
        <v/>
      </c>
      <c r="E17" s="15">
        <f>IF($A17="","",ROUND(参数设置!$C$5,1))</f>
        <v/>
      </c>
      <c r="F17" s="15">
        <f>IF($A17="","",COUNTIF(考勤录入!$D18:$AH18,"出勤"))</f>
        <v/>
      </c>
      <c r="G17" s="15">
        <f>IF($A17="","",COUNTIF(考勤录入!$D18:$AH18,"事假"))</f>
        <v/>
      </c>
      <c r="H17" s="15">
        <f>IF($A17="","",COUNTIF(考勤录入!$D18:$AH18,"病假"))</f>
        <v/>
      </c>
      <c r="I17" s="15">
        <f>IF($A17="","",COUNTIF(考勤录入!$D18:$AH18,"旷工"))</f>
        <v/>
      </c>
      <c r="J17" s="22">
        <f>IF($A17="","",0)</f>
        <v/>
      </c>
      <c r="K17" s="23">
        <f>IF($A17="","",IF(AND(G17=0,H17=0,I17=0,F17&gt;0),参数设置!$C$10,0))</f>
        <v/>
      </c>
      <c r="L17" s="23">
        <f>IF($A17="","",ROUND($D17/参数设置!$C$5*$F17,2))</f>
        <v/>
      </c>
      <c r="M17" s="23">
        <f>IF($A17="","",ROUND($D17/参数设置!$C$5/8*$J17*参数设置!$C$6,2))</f>
        <v/>
      </c>
      <c r="N17" s="23">
        <f>IF($A17="","",ROUND($D17/参数设置!$C$5*(G17*参数设置!$C$7+H17*参数设置!$C$8+I17*参数设置!$C$9),2))</f>
        <v/>
      </c>
      <c r="O17" s="23">
        <f>IF($A17="","",ROUND(L17+M17+K17-N17,2))</f>
        <v/>
      </c>
    </row>
    <row r="18" ht="21" customHeight="1">
      <c r="A18" s="12">
        <f>IF(考勤录入!A19="","",考勤录入!A19)</f>
        <v/>
      </c>
      <c r="B18" s="12">
        <f>IF(考勤录入!A19="","",考勤录入!B19)</f>
        <v/>
      </c>
      <c r="C18" s="12">
        <f>IF(考勤录入!A19="","",考勤录入!C19)</f>
        <v/>
      </c>
      <c r="D18" s="21">
        <f>IF($A18="","",IFERROR(VLOOKUP($A18,员工档案!$A$2:$G$40,5,0),0))</f>
        <v/>
      </c>
      <c r="E18" s="12">
        <f>IF($A18="","",ROUND(参数设置!$C$5,1))</f>
        <v/>
      </c>
      <c r="F18" s="12">
        <f>IF($A18="","",COUNTIF(考勤录入!$D19:$AH19,"出勤"))</f>
        <v/>
      </c>
      <c r="G18" s="12">
        <f>IF($A18="","",COUNTIF(考勤录入!$D19:$AH19,"事假"))</f>
        <v/>
      </c>
      <c r="H18" s="12">
        <f>IF($A18="","",COUNTIF(考勤录入!$D19:$AH19,"病假"))</f>
        <v/>
      </c>
      <c r="I18" s="12">
        <f>IF($A18="","",COUNTIF(考勤录入!$D19:$AH19,"旷工"))</f>
        <v/>
      </c>
      <c r="J18" s="22">
        <f>IF($A18="","",0)</f>
        <v/>
      </c>
      <c r="K18" s="21">
        <f>IF($A18="","",IF(AND(G18=0,H18=0,I18=0,F18&gt;0),参数设置!$C$10,0))</f>
        <v/>
      </c>
      <c r="L18" s="21">
        <f>IF($A18="","",ROUND($D18/参数设置!$C$5*$F18,2))</f>
        <v/>
      </c>
      <c r="M18" s="21">
        <f>IF($A18="","",ROUND($D18/参数设置!$C$5/8*$J18*参数设置!$C$6,2))</f>
        <v/>
      </c>
      <c r="N18" s="21">
        <f>IF($A18="","",ROUND($D18/参数设置!$C$5*(G18*参数设置!$C$7+H18*参数设置!$C$8+I18*参数设置!$C$9),2))</f>
        <v/>
      </c>
      <c r="O18" s="21">
        <f>IF($A18="","",ROUND(L18+M18+K18-N18,2))</f>
        <v/>
      </c>
    </row>
    <row r="19" ht="21" customHeight="1">
      <c r="A19" s="15">
        <f>IF(考勤录入!A20="","",考勤录入!A20)</f>
        <v/>
      </c>
      <c r="B19" s="15">
        <f>IF(考勤录入!A20="","",考勤录入!B20)</f>
        <v/>
      </c>
      <c r="C19" s="15">
        <f>IF(考勤录入!A20="","",考勤录入!C20)</f>
        <v/>
      </c>
      <c r="D19" s="23">
        <f>IF($A19="","",IFERROR(VLOOKUP($A19,员工档案!$A$2:$G$40,5,0),0))</f>
        <v/>
      </c>
      <c r="E19" s="15">
        <f>IF($A19="","",ROUND(参数设置!$C$5,1))</f>
        <v/>
      </c>
      <c r="F19" s="15">
        <f>IF($A19="","",COUNTIF(考勤录入!$D20:$AH20,"出勤"))</f>
        <v/>
      </c>
      <c r="G19" s="15">
        <f>IF($A19="","",COUNTIF(考勤录入!$D20:$AH20,"事假"))</f>
        <v/>
      </c>
      <c r="H19" s="15">
        <f>IF($A19="","",COUNTIF(考勤录入!$D20:$AH20,"病假"))</f>
        <v/>
      </c>
      <c r="I19" s="15">
        <f>IF($A19="","",COUNTIF(考勤录入!$D20:$AH20,"旷工"))</f>
        <v/>
      </c>
      <c r="J19" s="22">
        <f>IF($A19="","",0)</f>
        <v/>
      </c>
      <c r="K19" s="23">
        <f>IF($A19="","",IF(AND(G19=0,H19=0,I19=0,F19&gt;0),参数设置!$C$10,0))</f>
        <v/>
      </c>
      <c r="L19" s="23">
        <f>IF($A19="","",ROUND($D19/参数设置!$C$5*$F19,2))</f>
        <v/>
      </c>
      <c r="M19" s="23">
        <f>IF($A19="","",ROUND($D19/参数设置!$C$5/8*$J19*参数设置!$C$6,2))</f>
        <v/>
      </c>
      <c r="N19" s="23">
        <f>IF($A19="","",ROUND($D19/参数设置!$C$5*(G19*参数设置!$C$7+H19*参数设置!$C$8+I19*参数设置!$C$9),2))</f>
        <v/>
      </c>
      <c r="O19" s="23">
        <f>IF($A19="","",ROUND(L19+M19+K19-N19,2))</f>
        <v/>
      </c>
    </row>
    <row r="20" ht="21" customHeight="1">
      <c r="A20" s="12">
        <f>IF(考勤录入!A21="","",考勤录入!A21)</f>
        <v/>
      </c>
      <c r="B20" s="12">
        <f>IF(考勤录入!A21="","",考勤录入!B21)</f>
        <v/>
      </c>
      <c r="C20" s="12">
        <f>IF(考勤录入!A21="","",考勤录入!C21)</f>
        <v/>
      </c>
      <c r="D20" s="21">
        <f>IF($A20="","",IFERROR(VLOOKUP($A20,员工档案!$A$2:$G$40,5,0),0))</f>
        <v/>
      </c>
      <c r="E20" s="12">
        <f>IF($A20="","",ROUND(参数设置!$C$5,1))</f>
        <v/>
      </c>
      <c r="F20" s="12">
        <f>IF($A20="","",COUNTIF(考勤录入!$D21:$AH21,"出勤"))</f>
        <v/>
      </c>
      <c r="G20" s="12">
        <f>IF($A20="","",COUNTIF(考勤录入!$D21:$AH21,"事假"))</f>
        <v/>
      </c>
      <c r="H20" s="12">
        <f>IF($A20="","",COUNTIF(考勤录入!$D21:$AH21,"病假"))</f>
        <v/>
      </c>
      <c r="I20" s="12">
        <f>IF($A20="","",COUNTIF(考勤录入!$D21:$AH21,"旷工"))</f>
        <v/>
      </c>
      <c r="J20" s="22">
        <f>IF($A20="","",0)</f>
        <v/>
      </c>
      <c r="K20" s="21">
        <f>IF($A20="","",IF(AND(G20=0,H20=0,I20=0,F20&gt;0),参数设置!$C$10,0))</f>
        <v/>
      </c>
      <c r="L20" s="21">
        <f>IF($A20="","",ROUND($D20/参数设置!$C$5*$F20,2))</f>
        <v/>
      </c>
      <c r="M20" s="21">
        <f>IF($A20="","",ROUND($D20/参数设置!$C$5/8*$J20*参数设置!$C$6,2))</f>
        <v/>
      </c>
      <c r="N20" s="21">
        <f>IF($A20="","",ROUND($D20/参数设置!$C$5*(G20*参数设置!$C$7+H20*参数设置!$C$8+I20*参数设置!$C$9),2))</f>
        <v/>
      </c>
      <c r="O20" s="21">
        <f>IF($A20="","",ROUND(L20+M20+K20-N20,2))</f>
        <v/>
      </c>
    </row>
    <row r="21" ht="21" customHeight="1">
      <c r="A21" s="15">
        <f>IF(考勤录入!A22="","",考勤录入!A22)</f>
        <v/>
      </c>
      <c r="B21" s="15">
        <f>IF(考勤录入!A22="","",考勤录入!B22)</f>
        <v/>
      </c>
      <c r="C21" s="15">
        <f>IF(考勤录入!A22="","",考勤录入!C22)</f>
        <v/>
      </c>
      <c r="D21" s="23">
        <f>IF($A21="","",IFERROR(VLOOKUP($A21,员工档案!$A$2:$G$40,5,0),0))</f>
        <v/>
      </c>
      <c r="E21" s="15">
        <f>IF($A21="","",ROUND(参数设置!$C$5,1))</f>
        <v/>
      </c>
      <c r="F21" s="15">
        <f>IF($A21="","",COUNTIF(考勤录入!$D22:$AH22,"出勤"))</f>
        <v/>
      </c>
      <c r="G21" s="15">
        <f>IF($A21="","",COUNTIF(考勤录入!$D22:$AH22,"事假"))</f>
        <v/>
      </c>
      <c r="H21" s="15">
        <f>IF($A21="","",COUNTIF(考勤录入!$D22:$AH22,"病假"))</f>
        <v/>
      </c>
      <c r="I21" s="15">
        <f>IF($A21="","",COUNTIF(考勤录入!$D22:$AH22,"旷工"))</f>
        <v/>
      </c>
      <c r="J21" s="22">
        <f>IF($A21="","",0)</f>
        <v/>
      </c>
      <c r="K21" s="23">
        <f>IF($A21="","",IF(AND(G21=0,H21=0,I21=0,F21&gt;0),参数设置!$C$10,0))</f>
        <v/>
      </c>
      <c r="L21" s="23">
        <f>IF($A21="","",ROUND($D21/参数设置!$C$5*$F21,2))</f>
        <v/>
      </c>
      <c r="M21" s="23">
        <f>IF($A21="","",ROUND($D21/参数设置!$C$5/8*$J21*参数设置!$C$6,2))</f>
        <v/>
      </c>
      <c r="N21" s="23">
        <f>IF($A21="","",ROUND($D21/参数设置!$C$5*(G21*参数设置!$C$7+H21*参数设置!$C$8+I21*参数设置!$C$9),2))</f>
        <v/>
      </c>
      <c r="O21" s="23">
        <f>IF($A21="","",ROUND(L21+M21+K21-N21,2))</f>
        <v/>
      </c>
    </row>
    <row r="22" ht="21" customHeight="1">
      <c r="A22" s="12">
        <f>IF(考勤录入!A23="","",考勤录入!A23)</f>
        <v/>
      </c>
      <c r="B22" s="12">
        <f>IF(考勤录入!A23="","",考勤录入!B23)</f>
        <v/>
      </c>
      <c r="C22" s="12">
        <f>IF(考勤录入!A23="","",考勤录入!C23)</f>
        <v/>
      </c>
      <c r="D22" s="21">
        <f>IF($A22="","",IFERROR(VLOOKUP($A22,员工档案!$A$2:$G$40,5,0),0))</f>
        <v/>
      </c>
      <c r="E22" s="12">
        <f>IF($A22="","",ROUND(参数设置!$C$5,1))</f>
        <v/>
      </c>
      <c r="F22" s="12">
        <f>IF($A22="","",COUNTIF(考勤录入!$D23:$AH23,"出勤"))</f>
        <v/>
      </c>
      <c r="G22" s="12">
        <f>IF($A22="","",COUNTIF(考勤录入!$D23:$AH23,"事假"))</f>
        <v/>
      </c>
      <c r="H22" s="12">
        <f>IF($A22="","",COUNTIF(考勤录入!$D23:$AH23,"病假"))</f>
        <v/>
      </c>
      <c r="I22" s="12">
        <f>IF($A22="","",COUNTIF(考勤录入!$D23:$AH23,"旷工"))</f>
        <v/>
      </c>
      <c r="J22" s="22">
        <f>IF($A22="","",0)</f>
        <v/>
      </c>
      <c r="K22" s="21">
        <f>IF($A22="","",IF(AND(G22=0,H22=0,I22=0,F22&gt;0),参数设置!$C$10,0))</f>
        <v/>
      </c>
      <c r="L22" s="21">
        <f>IF($A22="","",ROUND($D22/参数设置!$C$5*$F22,2))</f>
        <v/>
      </c>
      <c r="M22" s="21">
        <f>IF($A22="","",ROUND($D22/参数设置!$C$5/8*$J22*参数设置!$C$6,2))</f>
        <v/>
      </c>
      <c r="N22" s="21">
        <f>IF($A22="","",ROUND($D22/参数设置!$C$5*(G22*参数设置!$C$7+H22*参数设置!$C$8+I22*参数设置!$C$9),2))</f>
        <v/>
      </c>
      <c r="O22" s="21">
        <f>IF($A22="","",ROUND(L22+M22+K22-N22,2))</f>
        <v/>
      </c>
    </row>
    <row r="23" ht="21" customHeight="1">
      <c r="A23" s="15">
        <f>IF(考勤录入!A24="","",考勤录入!A24)</f>
        <v/>
      </c>
      <c r="B23" s="15">
        <f>IF(考勤录入!A24="","",考勤录入!B24)</f>
        <v/>
      </c>
      <c r="C23" s="15">
        <f>IF(考勤录入!A24="","",考勤录入!C24)</f>
        <v/>
      </c>
      <c r="D23" s="23">
        <f>IF($A23="","",IFERROR(VLOOKUP($A23,员工档案!$A$2:$G$40,5,0),0))</f>
        <v/>
      </c>
      <c r="E23" s="15">
        <f>IF($A23="","",ROUND(参数设置!$C$5,1))</f>
        <v/>
      </c>
      <c r="F23" s="15">
        <f>IF($A23="","",COUNTIF(考勤录入!$D24:$AH24,"出勤"))</f>
        <v/>
      </c>
      <c r="G23" s="15">
        <f>IF($A23="","",COUNTIF(考勤录入!$D24:$AH24,"事假"))</f>
        <v/>
      </c>
      <c r="H23" s="15">
        <f>IF($A23="","",COUNTIF(考勤录入!$D24:$AH24,"病假"))</f>
        <v/>
      </c>
      <c r="I23" s="15">
        <f>IF($A23="","",COUNTIF(考勤录入!$D24:$AH24,"旷工"))</f>
        <v/>
      </c>
      <c r="J23" s="22">
        <f>IF($A23="","",0)</f>
        <v/>
      </c>
      <c r="K23" s="23">
        <f>IF($A23="","",IF(AND(G23=0,H23=0,I23=0,F23&gt;0),参数设置!$C$10,0))</f>
        <v/>
      </c>
      <c r="L23" s="23">
        <f>IF($A23="","",ROUND($D23/参数设置!$C$5*$F23,2))</f>
        <v/>
      </c>
      <c r="M23" s="23">
        <f>IF($A23="","",ROUND($D23/参数设置!$C$5/8*$J23*参数设置!$C$6,2))</f>
        <v/>
      </c>
      <c r="N23" s="23">
        <f>IF($A23="","",ROUND($D23/参数设置!$C$5*(G23*参数设置!$C$7+H23*参数设置!$C$8+I23*参数设置!$C$9),2))</f>
        <v/>
      </c>
      <c r="O23" s="23">
        <f>IF($A23="","",ROUND(L23+M23+K23-N23,2))</f>
        <v/>
      </c>
    </row>
    <row r="24" ht="21" customHeight="1">
      <c r="A24" s="12">
        <f>IF(考勤录入!A25="","",考勤录入!A25)</f>
        <v/>
      </c>
      <c r="B24" s="12">
        <f>IF(考勤录入!A25="","",考勤录入!B25)</f>
        <v/>
      </c>
      <c r="C24" s="12">
        <f>IF(考勤录入!A25="","",考勤录入!C25)</f>
        <v/>
      </c>
      <c r="D24" s="21">
        <f>IF($A24="","",IFERROR(VLOOKUP($A24,员工档案!$A$2:$G$40,5,0),0))</f>
        <v/>
      </c>
      <c r="E24" s="12">
        <f>IF($A24="","",ROUND(参数设置!$C$5,1))</f>
        <v/>
      </c>
      <c r="F24" s="12">
        <f>IF($A24="","",COUNTIF(考勤录入!$D25:$AH25,"出勤"))</f>
        <v/>
      </c>
      <c r="G24" s="12">
        <f>IF($A24="","",COUNTIF(考勤录入!$D25:$AH25,"事假"))</f>
        <v/>
      </c>
      <c r="H24" s="12">
        <f>IF($A24="","",COUNTIF(考勤录入!$D25:$AH25,"病假"))</f>
        <v/>
      </c>
      <c r="I24" s="12">
        <f>IF($A24="","",COUNTIF(考勤录入!$D25:$AH25,"旷工"))</f>
        <v/>
      </c>
      <c r="J24" s="22">
        <f>IF($A24="","",0)</f>
        <v/>
      </c>
      <c r="K24" s="21">
        <f>IF($A24="","",IF(AND(G24=0,H24=0,I24=0,F24&gt;0),参数设置!$C$10,0))</f>
        <v/>
      </c>
      <c r="L24" s="21">
        <f>IF($A24="","",ROUND($D24/参数设置!$C$5*$F24,2))</f>
        <v/>
      </c>
      <c r="M24" s="21">
        <f>IF($A24="","",ROUND($D24/参数设置!$C$5/8*$J24*参数设置!$C$6,2))</f>
        <v/>
      </c>
      <c r="N24" s="21">
        <f>IF($A24="","",ROUND($D24/参数设置!$C$5*(G24*参数设置!$C$7+H24*参数设置!$C$8+I24*参数设置!$C$9),2))</f>
        <v/>
      </c>
      <c r="O24" s="21">
        <f>IF($A24="","",ROUND(L24+M24+K24-N24,2))</f>
        <v/>
      </c>
    </row>
    <row r="25" ht="21" customHeight="1">
      <c r="A25" s="15">
        <f>IF(考勤录入!A26="","",考勤录入!A26)</f>
        <v/>
      </c>
      <c r="B25" s="15">
        <f>IF(考勤录入!A26="","",考勤录入!B26)</f>
        <v/>
      </c>
      <c r="C25" s="15">
        <f>IF(考勤录入!A26="","",考勤录入!C26)</f>
        <v/>
      </c>
      <c r="D25" s="23">
        <f>IF($A25="","",IFERROR(VLOOKUP($A25,员工档案!$A$2:$G$40,5,0),0))</f>
        <v/>
      </c>
      <c r="E25" s="15">
        <f>IF($A25="","",ROUND(参数设置!$C$5,1))</f>
        <v/>
      </c>
      <c r="F25" s="15">
        <f>IF($A25="","",COUNTIF(考勤录入!$D26:$AH26,"出勤"))</f>
        <v/>
      </c>
      <c r="G25" s="15">
        <f>IF($A25="","",COUNTIF(考勤录入!$D26:$AH26,"事假"))</f>
        <v/>
      </c>
      <c r="H25" s="15">
        <f>IF($A25="","",COUNTIF(考勤录入!$D26:$AH26,"病假"))</f>
        <v/>
      </c>
      <c r="I25" s="15">
        <f>IF($A25="","",COUNTIF(考勤录入!$D26:$AH26,"旷工"))</f>
        <v/>
      </c>
      <c r="J25" s="22">
        <f>IF($A25="","",0)</f>
        <v/>
      </c>
      <c r="K25" s="23">
        <f>IF($A25="","",IF(AND(G25=0,H25=0,I25=0,F25&gt;0),参数设置!$C$10,0))</f>
        <v/>
      </c>
      <c r="L25" s="23">
        <f>IF($A25="","",ROUND($D25/参数设置!$C$5*$F25,2))</f>
        <v/>
      </c>
      <c r="M25" s="23">
        <f>IF($A25="","",ROUND($D25/参数设置!$C$5/8*$J25*参数设置!$C$6,2))</f>
        <v/>
      </c>
      <c r="N25" s="23">
        <f>IF($A25="","",ROUND($D25/参数设置!$C$5*(G25*参数设置!$C$7+H25*参数设置!$C$8+I25*参数设置!$C$9),2))</f>
        <v/>
      </c>
      <c r="O25" s="23">
        <f>IF($A25="","",ROUND(L25+M25+K25-N25,2))</f>
        <v/>
      </c>
    </row>
    <row r="26" ht="21" customHeight="1">
      <c r="A26" s="12">
        <f>IF(考勤录入!A27="","",考勤录入!A27)</f>
        <v/>
      </c>
      <c r="B26" s="12">
        <f>IF(考勤录入!A27="","",考勤录入!B27)</f>
        <v/>
      </c>
      <c r="C26" s="12">
        <f>IF(考勤录入!A27="","",考勤录入!C27)</f>
        <v/>
      </c>
      <c r="D26" s="21">
        <f>IF($A26="","",IFERROR(VLOOKUP($A26,员工档案!$A$2:$G$40,5,0),0))</f>
        <v/>
      </c>
      <c r="E26" s="12">
        <f>IF($A26="","",ROUND(参数设置!$C$5,1))</f>
        <v/>
      </c>
      <c r="F26" s="12">
        <f>IF($A26="","",COUNTIF(考勤录入!$D27:$AH27,"出勤"))</f>
        <v/>
      </c>
      <c r="G26" s="12">
        <f>IF($A26="","",COUNTIF(考勤录入!$D27:$AH27,"事假"))</f>
        <v/>
      </c>
      <c r="H26" s="12">
        <f>IF($A26="","",COUNTIF(考勤录入!$D27:$AH27,"病假"))</f>
        <v/>
      </c>
      <c r="I26" s="12">
        <f>IF($A26="","",COUNTIF(考勤录入!$D27:$AH27,"旷工"))</f>
        <v/>
      </c>
      <c r="J26" s="22">
        <f>IF($A26="","",0)</f>
        <v/>
      </c>
      <c r="K26" s="21">
        <f>IF($A26="","",IF(AND(G26=0,H26=0,I26=0,F26&gt;0),参数设置!$C$10,0))</f>
        <v/>
      </c>
      <c r="L26" s="21">
        <f>IF($A26="","",ROUND($D26/参数设置!$C$5*$F26,2))</f>
        <v/>
      </c>
      <c r="M26" s="21">
        <f>IF($A26="","",ROUND($D26/参数设置!$C$5/8*$J26*参数设置!$C$6,2))</f>
        <v/>
      </c>
      <c r="N26" s="21">
        <f>IF($A26="","",ROUND($D26/参数设置!$C$5*(G26*参数设置!$C$7+H26*参数设置!$C$8+I26*参数设置!$C$9),2))</f>
        <v/>
      </c>
      <c r="O26" s="21">
        <f>IF($A26="","",ROUND(L26+M26+K26-N26,2))</f>
        <v/>
      </c>
    </row>
    <row r="27" ht="21" customHeight="1">
      <c r="A27" s="15">
        <f>IF(考勤录入!A28="","",考勤录入!A28)</f>
        <v/>
      </c>
      <c r="B27" s="15">
        <f>IF(考勤录入!A28="","",考勤录入!B28)</f>
        <v/>
      </c>
      <c r="C27" s="15">
        <f>IF(考勤录入!A28="","",考勤录入!C28)</f>
        <v/>
      </c>
      <c r="D27" s="23">
        <f>IF($A27="","",IFERROR(VLOOKUP($A27,员工档案!$A$2:$G$40,5,0),0))</f>
        <v/>
      </c>
      <c r="E27" s="15">
        <f>IF($A27="","",ROUND(参数设置!$C$5,1))</f>
        <v/>
      </c>
      <c r="F27" s="15">
        <f>IF($A27="","",COUNTIF(考勤录入!$D28:$AH28,"出勤"))</f>
        <v/>
      </c>
      <c r="G27" s="15">
        <f>IF($A27="","",COUNTIF(考勤录入!$D28:$AH28,"事假"))</f>
        <v/>
      </c>
      <c r="H27" s="15">
        <f>IF($A27="","",COUNTIF(考勤录入!$D28:$AH28,"病假"))</f>
        <v/>
      </c>
      <c r="I27" s="15">
        <f>IF($A27="","",COUNTIF(考勤录入!$D28:$AH28,"旷工"))</f>
        <v/>
      </c>
      <c r="J27" s="22">
        <f>IF($A27="","",0)</f>
        <v/>
      </c>
      <c r="K27" s="23">
        <f>IF($A27="","",IF(AND(G27=0,H27=0,I27=0,F27&gt;0),参数设置!$C$10,0))</f>
        <v/>
      </c>
      <c r="L27" s="23">
        <f>IF($A27="","",ROUND($D27/参数设置!$C$5*$F27,2))</f>
        <v/>
      </c>
      <c r="M27" s="23">
        <f>IF($A27="","",ROUND($D27/参数设置!$C$5/8*$J27*参数设置!$C$6,2))</f>
        <v/>
      </c>
      <c r="N27" s="23">
        <f>IF($A27="","",ROUND($D27/参数设置!$C$5*(G27*参数设置!$C$7+H27*参数设置!$C$8+I27*参数设置!$C$9),2))</f>
        <v/>
      </c>
      <c r="O27" s="23">
        <f>IF($A27="","",ROUND(L27+M27+K27-N27,2))</f>
        <v/>
      </c>
    </row>
    <row r="28" ht="21" customHeight="1">
      <c r="A28" s="12">
        <f>IF(考勤录入!A29="","",考勤录入!A29)</f>
        <v/>
      </c>
      <c r="B28" s="12">
        <f>IF(考勤录入!A29="","",考勤录入!B29)</f>
        <v/>
      </c>
      <c r="C28" s="12">
        <f>IF(考勤录入!A29="","",考勤录入!C29)</f>
        <v/>
      </c>
      <c r="D28" s="21">
        <f>IF($A28="","",IFERROR(VLOOKUP($A28,员工档案!$A$2:$G$40,5,0),0))</f>
        <v/>
      </c>
      <c r="E28" s="12">
        <f>IF($A28="","",ROUND(参数设置!$C$5,1))</f>
        <v/>
      </c>
      <c r="F28" s="12">
        <f>IF($A28="","",COUNTIF(考勤录入!$D29:$AH29,"出勤"))</f>
        <v/>
      </c>
      <c r="G28" s="12">
        <f>IF($A28="","",COUNTIF(考勤录入!$D29:$AH29,"事假"))</f>
        <v/>
      </c>
      <c r="H28" s="12">
        <f>IF($A28="","",COUNTIF(考勤录入!$D29:$AH29,"病假"))</f>
        <v/>
      </c>
      <c r="I28" s="12">
        <f>IF($A28="","",COUNTIF(考勤录入!$D29:$AH29,"旷工"))</f>
        <v/>
      </c>
      <c r="J28" s="22">
        <f>IF($A28="","",0)</f>
        <v/>
      </c>
      <c r="K28" s="21">
        <f>IF($A28="","",IF(AND(G28=0,H28=0,I28=0,F28&gt;0),参数设置!$C$10,0))</f>
        <v/>
      </c>
      <c r="L28" s="21">
        <f>IF($A28="","",ROUND($D28/参数设置!$C$5*$F28,2))</f>
        <v/>
      </c>
      <c r="M28" s="21">
        <f>IF($A28="","",ROUND($D28/参数设置!$C$5/8*$J28*参数设置!$C$6,2))</f>
        <v/>
      </c>
      <c r="N28" s="21">
        <f>IF($A28="","",ROUND($D28/参数设置!$C$5*(G28*参数设置!$C$7+H28*参数设置!$C$8+I28*参数设置!$C$9),2))</f>
        <v/>
      </c>
      <c r="O28" s="21">
        <f>IF($A28="","",ROUND(L28+M28+K28-N28,2))</f>
        <v/>
      </c>
    </row>
    <row r="29" ht="21" customHeight="1">
      <c r="A29" s="15">
        <f>IF(考勤录入!A30="","",考勤录入!A30)</f>
        <v/>
      </c>
      <c r="B29" s="15">
        <f>IF(考勤录入!A30="","",考勤录入!B30)</f>
        <v/>
      </c>
      <c r="C29" s="15">
        <f>IF(考勤录入!A30="","",考勤录入!C30)</f>
        <v/>
      </c>
      <c r="D29" s="23">
        <f>IF($A29="","",IFERROR(VLOOKUP($A29,员工档案!$A$2:$G$40,5,0),0))</f>
        <v/>
      </c>
      <c r="E29" s="15">
        <f>IF($A29="","",ROUND(参数设置!$C$5,1))</f>
        <v/>
      </c>
      <c r="F29" s="15">
        <f>IF($A29="","",COUNTIF(考勤录入!$D30:$AH30,"出勤"))</f>
        <v/>
      </c>
      <c r="G29" s="15">
        <f>IF($A29="","",COUNTIF(考勤录入!$D30:$AH30,"事假"))</f>
        <v/>
      </c>
      <c r="H29" s="15">
        <f>IF($A29="","",COUNTIF(考勤录入!$D30:$AH30,"病假"))</f>
        <v/>
      </c>
      <c r="I29" s="15">
        <f>IF($A29="","",COUNTIF(考勤录入!$D30:$AH30,"旷工"))</f>
        <v/>
      </c>
      <c r="J29" s="22">
        <f>IF($A29="","",0)</f>
        <v/>
      </c>
      <c r="K29" s="23">
        <f>IF($A29="","",IF(AND(G29=0,H29=0,I29=0,F29&gt;0),参数设置!$C$10,0))</f>
        <v/>
      </c>
      <c r="L29" s="23">
        <f>IF($A29="","",ROUND($D29/参数设置!$C$5*$F29,2))</f>
        <v/>
      </c>
      <c r="M29" s="23">
        <f>IF($A29="","",ROUND($D29/参数设置!$C$5/8*$J29*参数设置!$C$6,2))</f>
        <v/>
      </c>
      <c r="N29" s="23">
        <f>IF($A29="","",ROUND($D29/参数设置!$C$5*(G29*参数设置!$C$7+H29*参数设置!$C$8+I29*参数设置!$C$9),2))</f>
        <v/>
      </c>
      <c r="O29" s="23">
        <f>IF($A29="","",ROUND(L29+M29+K29-N29,2))</f>
        <v/>
      </c>
    </row>
    <row r="30" ht="21" customHeight="1">
      <c r="A30" s="12">
        <f>IF(考勤录入!A31="","",考勤录入!A31)</f>
        <v/>
      </c>
      <c r="B30" s="12">
        <f>IF(考勤录入!A31="","",考勤录入!B31)</f>
        <v/>
      </c>
      <c r="C30" s="12">
        <f>IF(考勤录入!A31="","",考勤录入!C31)</f>
        <v/>
      </c>
      <c r="D30" s="21">
        <f>IF($A30="","",IFERROR(VLOOKUP($A30,员工档案!$A$2:$G$40,5,0),0))</f>
        <v/>
      </c>
      <c r="E30" s="12">
        <f>IF($A30="","",ROUND(参数设置!$C$5,1))</f>
        <v/>
      </c>
      <c r="F30" s="12">
        <f>IF($A30="","",COUNTIF(考勤录入!$D31:$AH31,"出勤"))</f>
        <v/>
      </c>
      <c r="G30" s="12">
        <f>IF($A30="","",COUNTIF(考勤录入!$D31:$AH31,"事假"))</f>
        <v/>
      </c>
      <c r="H30" s="12">
        <f>IF($A30="","",COUNTIF(考勤录入!$D31:$AH31,"病假"))</f>
        <v/>
      </c>
      <c r="I30" s="12">
        <f>IF($A30="","",COUNTIF(考勤录入!$D31:$AH31,"旷工"))</f>
        <v/>
      </c>
      <c r="J30" s="22">
        <f>IF($A30="","",0)</f>
        <v/>
      </c>
      <c r="K30" s="21">
        <f>IF($A30="","",IF(AND(G30=0,H30=0,I30=0,F30&gt;0),参数设置!$C$10,0))</f>
        <v/>
      </c>
      <c r="L30" s="21">
        <f>IF($A30="","",ROUND($D30/参数设置!$C$5*$F30,2))</f>
        <v/>
      </c>
      <c r="M30" s="21">
        <f>IF($A30="","",ROUND($D30/参数设置!$C$5/8*$J30*参数设置!$C$6,2))</f>
        <v/>
      </c>
      <c r="N30" s="21">
        <f>IF($A30="","",ROUND($D30/参数设置!$C$5*(G30*参数设置!$C$7+H30*参数设置!$C$8+I30*参数设置!$C$9),2))</f>
        <v/>
      </c>
      <c r="O30" s="21">
        <f>IF($A30="","",ROUND(L30+M30+K30-N30,2))</f>
        <v/>
      </c>
    </row>
    <row r="31" ht="21" customHeight="1">
      <c r="A31" s="15">
        <f>IF(考勤录入!A32="","",考勤录入!A32)</f>
        <v/>
      </c>
      <c r="B31" s="15">
        <f>IF(考勤录入!A32="","",考勤录入!B32)</f>
        <v/>
      </c>
      <c r="C31" s="15">
        <f>IF(考勤录入!A32="","",考勤录入!C32)</f>
        <v/>
      </c>
      <c r="D31" s="23">
        <f>IF($A31="","",IFERROR(VLOOKUP($A31,员工档案!$A$2:$G$40,5,0),0))</f>
        <v/>
      </c>
      <c r="E31" s="15">
        <f>IF($A31="","",ROUND(参数设置!$C$5,1))</f>
        <v/>
      </c>
      <c r="F31" s="15">
        <f>IF($A31="","",COUNTIF(考勤录入!$D32:$AH32,"出勤"))</f>
        <v/>
      </c>
      <c r="G31" s="15">
        <f>IF($A31="","",COUNTIF(考勤录入!$D32:$AH32,"事假"))</f>
        <v/>
      </c>
      <c r="H31" s="15">
        <f>IF($A31="","",COUNTIF(考勤录入!$D32:$AH32,"病假"))</f>
        <v/>
      </c>
      <c r="I31" s="15">
        <f>IF($A31="","",COUNTIF(考勤录入!$D32:$AH32,"旷工"))</f>
        <v/>
      </c>
      <c r="J31" s="22">
        <f>IF($A31="","",0)</f>
        <v/>
      </c>
      <c r="K31" s="23">
        <f>IF($A31="","",IF(AND(G31=0,H31=0,I31=0,F31&gt;0),参数设置!$C$10,0))</f>
        <v/>
      </c>
      <c r="L31" s="23">
        <f>IF($A31="","",ROUND($D31/参数设置!$C$5*$F31,2))</f>
        <v/>
      </c>
      <c r="M31" s="23">
        <f>IF($A31="","",ROUND($D31/参数设置!$C$5/8*$J31*参数设置!$C$6,2))</f>
        <v/>
      </c>
      <c r="N31" s="23">
        <f>IF($A31="","",ROUND($D31/参数设置!$C$5*(G31*参数设置!$C$7+H31*参数设置!$C$8+I31*参数设置!$C$9),2))</f>
        <v/>
      </c>
      <c r="O31" s="23">
        <f>IF($A31="","",ROUND(L31+M31+K31-N31,2))</f>
        <v/>
      </c>
    </row>
    <row r="32">
      <c r="A32" s="24" t="inlineStr">
        <is>
          <t>合计</t>
        </is>
      </c>
      <c r="B32" s="25" t="n"/>
      <c r="C32" s="25" t="n"/>
      <c r="D32" s="26">
        <f>SUM(D2:D31)</f>
        <v/>
      </c>
      <c r="E32" s="25" t="n"/>
      <c r="F32" s="26">
        <f>SUM(F2:F31)</f>
        <v/>
      </c>
      <c r="G32" s="26">
        <f>SUM(G2:G31)</f>
        <v/>
      </c>
      <c r="H32" s="26">
        <f>SUM(H2:H31)</f>
        <v/>
      </c>
      <c r="I32" s="26">
        <f>SUM(I2:I31)</f>
        <v/>
      </c>
      <c r="J32" s="26">
        <f>SUM(J2:J31)</f>
        <v/>
      </c>
      <c r="K32" s="26">
        <f>SUM(K2:K31)</f>
        <v/>
      </c>
      <c r="L32" s="26">
        <f>SUM(L2:L31)</f>
        <v/>
      </c>
      <c r="M32" s="26">
        <f>SUM(M2:M31)</f>
        <v/>
      </c>
      <c r="N32" s="26">
        <f>SUM(N2:N31)</f>
        <v/>
      </c>
      <c r="O32" s="26">
        <f>SUM(O2:O31)</f>
        <v/>
      </c>
    </row>
    <row r="34">
      <c r="A34" s="27" t="inlineStr">
        <is>
          <t>说明：黄色「加班小时」列需手工填写；其余全部自动计算。扣款系数、计薪天数在「参数设置」调整。</t>
        </is>
      </c>
    </row>
  </sheetData>
  <mergeCells count="2">
    <mergeCell ref="A34:O34"/>
    <mergeCell ref="A32:C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2026-10-26T15:45:08Z</dcterms:created>
  <dcterms:modified xmlns:dcterms="http://purl.org/dc/terms/" xmlns:xsi="http://www.w3.org/2001/XMLSchema-instance" xsi:type="dcterms:W3CDTF">2026-10-26T15:45:08Z</dcterms:modified>
</cp:coreProperties>
</file>