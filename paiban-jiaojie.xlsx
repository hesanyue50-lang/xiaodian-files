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参数设置" sheetId="2" state="visible" r:id="rId2"/>
    <sheet xmlns:r="http://schemas.openxmlformats.org/officeDocument/2006/relationships" name="员工与班次" sheetId="3" state="visible" r:id="rId3"/>
    <sheet xmlns:r="http://schemas.openxmlformats.org/officeDocument/2006/relationships" name="排班表" sheetId="4" state="visible" r:id="rId4"/>
    <sheet xmlns:r="http://schemas.openxmlformats.org/officeDocument/2006/relationships" name="班次统计" sheetId="5" state="visible" r:id="rId5"/>
    <sheet xmlns:r="http://schemas.openxmlformats.org/officeDocument/2006/relationships" name="每日在岗人数" sheetId="6" state="visible" r:id="rId6"/>
  </sheets>
  <definedNames>
    <definedName name="_xlnm._FilterDatabase" localSheetId="2" hidden="1">'员工与班次'!$A$1:$E$31</definedName>
    <definedName name="_xlnm.Print_Titles" localSheetId="3">'排班表'!$1:$2,'排班表'!$A:$B</definedName>
    <definedName name="_xlnm.Print_Area" localSheetId="3">'排班表'!$A$1:$AG$32</definedName>
    <definedName name="_xlnm.Print_Titles" localSheetId="4">'班次统计'!$1:$1</definedName>
    <definedName name="_xlnm.Print_Area" localSheetId="4">'班次统计'!$A$1:$J$35</definedName>
    <definedName name="_xlnm.Print_Titles" localSheetId="5">'每日在岗人数'!$1:$1</definedName>
    <definedName name="_xlnm.Print_Area" localSheetId="5">'每日在岗人数'!$A$1:$G$34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1F4E5F"/>
      <sz val="20"/>
    </font>
    <font>
      <name val="微软雅黑"/>
      <color rgb="00666666"/>
      <sz val="11"/>
    </font>
    <font>
      <name val="微软雅黑"/>
      <b val="1"/>
      <color rgb="002E8B8B"/>
      <sz val="12"/>
    </font>
    <font>
      <name val="微软雅黑"/>
      <sz val="10"/>
    </font>
    <font>
      <name val="微软雅黑"/>
      <b val="1"/>
      <color rgb="001F4E5F"/>
      <sz val="12"/>
    </font>
    <font>
      <name val="微软雅黑"/>
      <b val="1"/>
      <color rgb="001F4E5F"/>
      <sz val="16"/>
    </font>
    <font>
      <name val="微软雅黑"/>
      <color rgb="00888888"/>
      <sz val="10"/>
    </font>
    <font>
      <name val="微软雅黑"/>
      <b val="1"/>
      <sz val="10"/>
    </font>
    <font>
      <name val="微软雅黑"/>
      <b val="1"/>
      <color rgb="00C00000"/>
      <sz val="11"/>
    </font>
    <font>
      <name val="微软雅黑"/>
      <color rgb="00777777"/>
      <sz val="9"/>
    </font>
    <font>
      <name val="微软雅黑"/>
      <b val="1"/>
      <color rgb="001F4E5F"/>
      <sz val="11"/>
    </font>
    <font>
      <name val="微软雅黑"/>
      <b val="1"/>
      <color rgb="00FFFFFF"/>
      <sz val="10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E8F4F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4DFEC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1F4E5F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2E8B8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1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7"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EB9C"/>
        </patternFill>
      </fill>
    </dxf>
    <dxf>
      <font>
        <name val="微软雅黑"/>
        <b val="1"/>
        <color rgb="009C0006"/>
        <sz val="10"/>
      </font>
      <fill>
        <patternFill patternType="solid">
          <fgColor rgb="00FFC7CE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8" customHeight="1">
      <c r="B2" s="1" t="inlineStr">
        <is>
          <t>门店排班交接班表（自动统计版）</t>
        </is>
      </c>
    </row>
    <row r="3">
      <c r="B3" s="2" t="inlineStr">
        <is>
          <t>适合：门店 / 餐饮 / 小工厂 / 保安保洁班组（10-30 人）</t>
        </is>
      </c>
    </row>
    <row r="5">
      <c r="B5" s="3" t="inlineStr">
        <is>
          <t>① 先填「参数设置」</t>
        </is>
      </c>
    </row>
    <row r="6" ht="40" customHeight="1">
      <c r="B6" s="4" t="inlineStr">
        <is>
          <t>门店名称、本月天数、早/中/晚三班的起止时间、每班需要几个人。填一次，整表通用，改了下个月只改天数。</t>
        </is>
      </c>
    </row>
    <row r="8">
      <c r="B8" s="3" t="inlineStr">
        <is>
          <t>② 再填「员工与班次」</t>
        </is>
      </c>
    </row>
    <row r="9" ht="40" customHeight="1">
      <c r="B9" s="4" t="inlineStr">
        <is>
          <t>工号、姓名、岗位、可上时段（如「只能上早班」「周末不能上」）、备注。20 行示例，多的直接往下加，排班表的姓名会自动带出来。</t>
        </is>
      </c>
    </row>
    <row r="11">
      <c r="B11" s="3" t="inlineStr">
        <is>
          <t>③ 在「排班表」点格选班</t>
        </is>
      </c>
    </row>
    <row r="12" ht="40" customHeight="1">
      <c r="B12" s="4" t="inlineStr">
        <is>
          <t>一人一行，1 号到 31 号一天一格，点格子右侧小箭头选：早 / 中 / 晚 / 休 / 年假。选完自动上色，不用打字。</t>
        </is>
      </c>
    </row>
    <row r="14">
      <c r="B14" s="3" t="inlineStr">
        <is>
          <t>④ 看「班次统计」核工时</t>
        </is>
      </c>
    </row>
    <row r="15" ht="40" customHeight="1">
      <c r="B15" s="4" t="inlineStr">
        <is>
          <t>每人早中晚各几天、休几天、年假几天自动算，本月总工时 =（早+中+晚）× 每天标准工时，排班时顺手就能看出谁上多了。</t>
        </is>
      </c>
    </row>
    <row r="17">
      <c r="B17" s="3" t="inlineStr">
        <is>
          <t>⑤ 看「每日在岗人数」补人</t>
        </is>
      </c>
    </row>
    <row r="18" ht="40" customHeight="1">
      <c r="B18" s="4" t="inlineStr">
        <is>
          <t>1-31 号每天各班的在岗人数自动统计。某天某班人数为 0 会标红，说明那一班没人，排班时要补人或者并班。</t>
        </is>
      </c>
    </row>
    <row r="21">
      <c r="B21" s="5" t="inlineStr">
        <is>
          <t>常见问题</t>
        </is>
      </c>
    </row>
    <row r="22" ht="34" customHeight="1">
      <c r="B22" s="4" t="inlineStr">
        <is>
          <t>Q：员工超过 30 人怎么办？   A：「员工与班次」和「排班表」都是 30 行，人不够就在两张表同样的行号往下加行，把公式往下拖一格即可，统计页范围同步往下拖。</t>
        </is>
      </c>
    </row>
    <row r="23" ht="34" customHeight="1">
      <c r="B23" s="4" t="inlineStr">
        <is>
          <t>Q：想加「病假」「调休」这种班次？   A：在「参数设置」下面空白处先写好文字，再点「排班表」→ 数据 → 数据验证，把下拉清单改成你需要的几项；同时给新班次加一条条件格式颜色。</t>
        </is>
      </c>
    </row>
    <row r="24" ht="34" customHeight="1">
      <c r="B24" s="4" t="inlineStr">
        <is>
          <t>Q：换了月份，上个月的排班还想留着？   A：整份文件另存为「2026-11 排班.xlsx」，只改「参数设置」里的天数，然后选「排班表」数据区按 Delete 清空重新排，历史文件别覆盖。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52" customWidth="1" min="4" max="4"/>
  </cols>
  <sheetData>
    <row r="2">
      <c r="B2" s="6" t="inlineStr">
        <is>
          <t>参数设置</t>
        </is>
      </c>
    </row>
    <row r="3">
      <c r="B3" s="7" t="inlineStr">
        <is>
          <t>改这里的值，排班表标题与统计自动跟着变</t>
        </is>
      </c>
    </row>
    <row r="5" ht="26" customHeight="1">
      <c r="B5" s="8" t="inlineStr">
        <is>
          <t>门店名称</t>
        </is>
      </c>
      <c r="C5" s="9" t="inlineStr">
        <is>
          <t>示例便利店（人民路店）</t>
        </is>
      </c>
      <c r="D5" s="10" t="inlineStr">
        <is>
          <t>会显示在排班表标题上，改成你的店名</t>
        </is>
      </c>
    </row>
    <row r="6" ht="26" customHeight="1">
      <c r="B6" s="8" t="inlineStr">
        <is>
          <t>本月天数</t>
        </is>
      </c>
      <c r="C6" s="9" t="n">
        <v>31</v>
      </c>
      <c r="D6" s="10" t="inlineStr">
        <is>
          <t>2 月填 28 或 29；30 天的月份填 30，多出来的日期格空着即可</t>
        </is>
      </c>
    </row>
    <row r="7" ht="26" customHeight="1">
      <c r="B7" s="8" t="inlineStr">
        <is>
          <t>早班时间</t>
        </is>
      </c>
      <c r="C7" s="9" t="inlineStr">
        <is>
          <t>08:00-16:00</t>
        </is>
      </c>
      <c r="D7" s="10" t="inlineStr">
        <is>
          <t>按你们实际交班时间填，只是文字说明</t>
        </is>
      </c>
    </row>
    <row r="8" ht="26" customHeight="1">
      <c r="B8" s="8" t="inlineStr">
        <is>
          <t>中班时间</t>
        </is>
      </c>
      <c r="C8" s="9" t="inlineStr">
        <is>
          <t>16:00-24:00</t>
        </is>
      </c>
      <c r="D8" s="10" t="inlineStr">
        <is>
          <t>同上</t>
        </is>
      </c>
    </row>
    <row r="9" ht="26" customHeight="1">
      <c r="B9" s="8" t="inlineStr">
        <is>
          <t>晚班时间</t>
        </is>
      </c>
      <c r="C9" s="9" t="inlineStr">
        <is>
          <t>00:00-08:00</t>
        </is>
      </c>
      <c r="D9" s="10" t="inlineStr">
        <is>
          <t>同上</t>
        </is>
      </c>
    </row>
    <row r="10" ht="26" customHeight="1">
      <c r="B10" s="8" t="inlineStr">
        <is>
          <t>每天标准工时</t>
        </is>
      </c>
      <c r="C10" s="9" t="n">
        <v>8</v>
      </c>
      <c r="D10" s="10" t="inlineStr">
        <is>
          <t>一个班算几小时；三班各 8 小时就填 8，两班倒 12 小时就填 12</t>
        </is>
      </c>
    </row>
    <row r="11" ht="26" customHeight="1">
      <c r="B11" s="8" t="inlineStr">
        <is>
          <t>早班需人数</t>
        </is>
      </c>
      <c r="C11" s="9" t="n">
        <v>4</v>
      </c>
      <c r="D11" s="10" t="inlineStr">
        <is>
          <t>这一班至少要几个人；填 0 表示不排这个班</t>
        </is>
      </c>
    </row>
    <row r="12" ht="26" customHeight="1">
      <c r="B12" s="8" t="inlineStr">
        <is>
          <t>中班需人数</t>
        </is>
      </c>
      <c r="C12" s="9" t="n">
        <v>3</v>
      </c>
      <c r="D12" s="10" t="inlineStr">
        <is>
          <t>同上</t>
        </is>
      </c>
    </row>
    <row r="13" ht="26" customHeight="1">
      <c r="B13" s="8" t="inlineStr">
        <is>
          <t>晚班需人数</t>
        </is>
      </c>
      <c r="C13" s="9" t="n">
        <v>2</v>
      </c>
      <c r="D13" s="10" t="inlineStr">
        <is>
          <t>同上</t>
        </is>
      </c>
    </row>
    <row r="15">
      <c r="B15" s="11" t="inlineStr">
        <is>
          <t>班次颜色对照</t>
        </is>
      </c>
    </row>
    <row r="16">
      <c r="B16" s="12" t="inlineStr">
        <is>
          <t>早</t>
        </is>
      </c>
      <c r="C16" s="13" t="inlineStr">
        <is>
          <t>浅蓝</t>
        </is>
      </c>
    </row>
    <row r="17">
      <c r="B17" s="14" t="inlineStr">
        <is>
          <t>中</t>
        </is>
      </c>
      <c r="C17" s="13" t="inlineStr">
        <is>
          <t>浅绿</t>
        </is>
      </c>
    </row>
    <row r="18">
      <c r="B18" s="15" t="inlineStr">
        <is>
          <t>晚</t>
        </is>
      </c>
      <c r="C18" s="13" t="inlineStr">
        <is>
          <t>浅紫</t>
        </is>
      </c>
    </row>
    <row r="19">
      <c r="B19" s="16" t="inlineStr">
        <is>
          <t>休</t>
        </is>
      </c>
      <c r="C19" s="13" t="inlineStr">
        <is>
          <t>灰</t>
        </is>
      </c>
    </row>
    <row r="20">
      <c r="B20" s="17" t="inlineStr">
        <is>
          <t>年假</t>
        </is>
      </c>
      <c r="C20" s="13" t="inlineStr">
        <is>
          <t>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24" customWidth="1" min="5" max="5"/>
  </cols>
  <sheetData>
    <row r="1" ht="26" customHeight="1">
      <c r="A1" s="18" t="inlineStr">
        <is>
          <t>工号</t>
        </is>
      </c>
      <c r="B1" s="18" t="inlineStr">
        <is>
          <t>姓名</t>
        </is>
      </c>
      <c r="C1" s="18" t="inlineStr">
        <is>
          <t>岗位</t>
        </is>
      </c>
      <c r="D1" s="18" t="inlineStr">
        <is>
          <t>可上时段</t>
        </is>
      </c>
      <c r="E1" s="18" t="inlineStr">
        <is>
          <t>备注</t>
        </is>
      </c>
    </row>
    <row r="2" ht="20" customHeight="1">
      <c r="A2" s="19" t="inlineStr">
        <is>
          <t>A01</t>
        </is>
      </c>
      <c r="B2" s="19" t="inlineStr">
        <is>
          <t>张 伟</t>
        </is>
      </c>
      <c r="C2" s="19" t="inlineStr">
        <is>
          <t>店长</t>
        </is>
      </c>
      <c r="D2" s="19" t="inlineStr">
        <is>
          <t>早/中</t>
        </is>
      </c>
      <c r="E2" s="19" t="inlineStr">
        <is>
          <t>周一休息</t>
        </is>
      </c>
    </row>
    <row r="3" ht="20" customHeight="1">
      <c r="A3" s="20" t="inlineStr">
        <is>
          <t>A02</t>
        </is>
      </c>
      <c r="B3" s="20" t="inlineStr">
        <is>
          <t>李 娜</t>
        </is>
      </c>
      <c r="C3" s="20" t="inlineStr">
        <is>
          <t>收银</t>
        </is>
      </c>
      <c r="D3" s="20" t="inlineStr">
        <is>
          <t>早/中/晚</t>
        </is>
      </c>
      <c r="E3" s="20" t="inlineStr"/>
    </row>
    <row r="4" ht="20" customHeight="1">
      <c r="A4" s="19" t="inlineStr">
        <is>
          <t>A03</t>
        </is>
      </c>
      <c r="B4" s="19" t="inlineStr">
        <is>
          <t>王 强</t>
        </is>
      </c>
      <c r="C4" s="19" t="inlineStr">
        <is>
          <t>理货</t>
        </is>
      </c>
      <c r="D4" s="19" t="inlineStr">
        <is>
          <t>中/晚</t>
        </is>
      </c>
      <c r="E4" s="19" t="inlineStr">
        <is>
          <t>不会早班</t>
        </is>
      </c>
    </row>
    <row r="5" ht="20" customHeight="1">
      <c r="A5" s="20" t="inlineStr">
        <is>
          <t>A04</t>
        </is>
      </c>
      <c r="B5" s="20" t="inlineStr">
        <is>
          <t>刘 洋</t>
        </is>
      </c>
      <c r="C5" s="20" t="inlineStr">
        <is>
          <t>收银</t>
        </is>
      </c>
      <c r="D5" s="20" t="inlineStr">
        <is>
          <t>早/中</t>
        </is>
      </c>
      <c r="E5" s="20" t="inlineStr"/>
    </row>
    <row r="6" ht="20" customHeight="1">
      <c r="A6" s="19" t="inlineStr">
        <is>
          <t>A05</t>
        </is>
      </c>
      <c r="B6" s="19" t="inlineStr">
        <is>
          <t>陈 静</t>
        </is>
      </c>
      <c r="C6" s="19" t="inlineStr">
        <is>
          <t>理货</t>
        </is>
      </c>
      <c r="D6" s="19" t="inlineStr">
        <is>
          <t>早/中/晚</t>
        </is>
      </c>
      <c r="E6" s="19" t="inlineStr"/>
    </row>
    <row r="7" ht="20" customHeight="1">
      <c r="A7" s="20" t="inlineStr">
        <is>
          <t>A06</t>
        </is>
      </c>
      <c r="B7" s="20" t="inlineStr">
        <is>
          <t>杨 帆</t>
        </is>
      </c>
      <c r="C7" s="20" t="inlineStr">
        <is>
          <t>生鲜</t>
        </is>
      </c>
      <c r="D7" s="20" t="inlineStr">
        <is>
          <t>早班</t>
        </is>
      </c>
      <c r="E7" s="20" t="inlineStr">
        <is>
          <t>每天 15:00 前必须走</t>
        </is>
      </c>
    </row>
    <row r="8" ht="20" customHeight="1">
      <c r="A8" s="19" t="inlineStr">
        <is>
          <t>A07</t>
        </is>
      </c>
      <c r="B8" s="19" t="inlineStr">
        <is>
          <t>赵 磊</t>
        </is>
      </c>
      <c r="C8" s="19" t="inlineStr">
        <is>
          <t>保安</t>
        </is>
      </c>
      <c r="D8" s="19" t="inlineStr">
        <is>
          <t>晚班</t>
        </is>
      </c>
      <c r="E8" s="19" t="inlineStr">
        <is>
          <t>只上夜班</t>
        </is>
      </c>
    </row>
    <row r="9" ht="20" customHeight="1">
      <c r="A9" s="20" t="inlineStr">
        <is>
          <t>A08</t>
        </is>
      </c>
      <c r="B9" s="20" t="inlineStr">
        <is>
          <t>周 敏</t>
        </is>
      </c>
      <c r="C9" s="20" t="inlineStr">
        <is>
          <t>收银</t>
        </is>
      </c>
      <c r="D9" s="20" t="inlineStr">
        <is>
          <t>早/中/晚</t>
        </is>
      </c>
      <c r="E9" s="20" t="inlineStr"/>
    </row>
    <row r="10" ht="20" customHeight="1">
      <c r="A10" s="19" t="inlineStr">
        <is>
          <t>A09</t>
        </is>
      </c>
      <c r="B10" s="19" t="inlineStr">
        <is>
          <t>吴 昊</t>
        </is>
      </c>
      <c r="C10" s="19" t="inlineStr">
        <is>
          <t>理货</t>
        </is>
      </c>
      <c r="D10" s="19" t="inlineStr">
        <is>
          <t>中/晚</t>
        </is>
      </c>
      <c r="E10" s="19" t="inlineStr"/>
    </row>
    <row r="11" ht="20" customHeight="1">
      <c r="A11" s="20" t="inlineStr">
        <is>
          <t>A10</t>
        </is>
      </c>
      <c r="B11" s="20" t="inlineStr">
        <is>
          <t>徐 婷</t>
        </is>
      </c>
      <c r="C11" s="20" t="inlineStr">
        <is>
          <t>生鲜</t>
        </is>
      </c>
      <c r="D11" s="20" t="inlineStr">
        <is>
          <t>早/中</t>
        </is>
      </c>
      <c r="E11" s="20" t="inlineStr"/>
    </row>
    <row r="12" ht="20" customHeight="1">
      <c r="A12" s="19" t="inlineStr">
        <is>
          <t>A11</t>
        </is>
      </c>
      <c r="B12" s="19" t="inlineStr">
        <is>
          <t>孙 磊</t>
        </is>
      </c>
      <c r="C12" s="19" t="inlineStr">
        <is>
          <t>收银</t>
        </is>
      </c>
      <c r="D12" s="19" t="inlineStr">
        <is>
          <t>早/中/晚</t>
        </is>
      </c>
      <c r="E12" s="19" t="inlineStr">
        <is>
          <t>学生兼职，周末可上</t>
        </is>
      </c>
    </row>
    <row r="13" ht="20" customHeight="1">
      <c r="A13" s="20" t="inlineStr">
        <is>
          <t>A12</t>
        </is>
      </c>
      <c r="B13" s="20" t="inlineStr">
        <is>
          <t>马 丽</t>
        </is>
      </c>
      <c r="C13" s="20" t="inlineStr">
        <is>
          <t>理货</t>
        </is>
      </c>
      <c r="D13" s="20" t="inlineStr">
        <is>
          <t>早/中/晚</t>
        </is>
      </c>
      <c r="E13" s="20" t="inlineStr"/>
    </row>
    <row r="14" ht="20" customHeight="1">
      <c r="A14" s="19" t="inlineStr">
        <is>
          <t>A13</t>
        </is>
      </c>
      <c r="B14" s="19" t="inlineStr">
        <is>
          <t>朱 鹏</t>
        </is>
      </c>
      <c r="C14" s="19" t="inlineStr">
        <is>
          <t>生鲜</t>
        </is>
      </c>
      <c r="D14" s="19" t="inlineStr">
        <is>
          <t>中/晚</t>
        </is>
      </c>
      <c r="E14" s="19" t="inlineStr"/>
    </row>
    <row r="15" ht="20" customHeight="1">
      <c r="A15" s="20" t="inlineStr">
        <is>
          <t>A14</t>
        </is>
      </c>
      <c r="B15" s="20" t="inlineStr">
        <is>
          <t>胡 静</t>
        </is>
      </c>
      <c r="C15" s="20" t="inlineStr">
        <is>
          <t>收银</t>
        </is>
      </c>
      <c r="D15" s="20" t="inlineStr">
        <is>
          <t>早/中</t>
        </is>
      </c>
      <c r="E15" s="20" t="inlineStr"/>
    </row>
    <row r="16" ht="20" customHeight="1">
      <c r="A16" s="19" t="inlineStr">
        <is>
          <t>A15</t>
        </is>
      </c>
      <c r="B16" s="19" t="inlineStr">
        <is>
          <t>郭 强</t>
        </is>
      </c>
      <c r="C16" s="19" t="inlineStr">
        <is>
          <t>理货</t>
        </is>
      </c>
      <c r="D16" s="19" t="inlineStr">
        <is>
          <t>晚班</t>
        </is>
      </c>
      <c r="E16" s="19" t="inlineStr"/>
    </row>
    <row r="17" ht="20" customHeight="1">
      <c r="A17" s="20" t="inlineStr">
        <is>
          <t>A16</t>
        </is>
      </c>
      <c r="B17" s="20" t="inlineStr">
        <is>
          <t>何 芳</t>
        </is>
      </c>
      <c r="C17" s="20" t="inlineStr">
        <is>
          <t>收银</t>
        </is>
      </c>
      <c r="D17" s="20" t="inlineStr">
        <is>
          <t>早/中</t>
        </is>
      </c>
      <c r="E17" s="20" t="inlineStr"/>
    </row>
    <row r="18" ht="20" customHeight="1">
      <c r="A18" s="19" t="inlineStr">
        <is>
          <t>A17</t>
        </is>
      </c>
      <c r="B18" s="19" t="inlineStr">
        <is>
          <t>高 峰</t>
        </is>
      </c>
      <c r="C18" s="19" t="inlineStr">
        <is>
          <t>保安</t>
        </is>
      </c>
      <c r="D18" s="19" t="inlineStr">
        <is>
          <t>晚班</t>
        </is>
      </c>
      <c r="E18" s="19" t="inlineStr"/>
    </row>
    <row r="19" ht="20" customHeight="1">
      <c r="A19" s="20" t="inlineStr">
        <is>
          <t>A18</t>
        </is>
      </c>
      <c r="B19" s="20" t="inlineStr">
        <is>
          <t>林 珊</t>
        </is>
      </c>
      <c r="C19" s="20" t="inlineStr">
        <is>
          <t>理货</t>
        </is>
      </c>
      <c r="D19" s="20" t="inlineStr">
        <is>
          <t>早/中/晚</t>
        </is>
      </c>
      <c r="E19" s="20" t="inlineStr"/>
    </row>
    <row r="20" ht="20" customHeight="1">
      <c r="A20" s="19" t="inlineStr">
        <is>
          <t>A19</t>
        </is>
      </c>
      <c r="B20" s="19" t="inlineStr">
        <is>
          <t>罗 军</t>
        </is>
      </c>
      <c r="C20" s="19" t="inlineStr">
        <is>
          <t>生鲜</t>
        </is>
      </c>
      <c r="D20" s="19" t="inlineStr">
        <is>
          <t>中/晚</t>
        </is>
      </c>
      <c r="E20" s="19" t="inlineStr"/>
    </row>
    <row r="21" ht="20" customHeight="1">
      <c r="A21" s="20" t="inlineStr">
        <is>
          <t>A20</t>
        </is>
      </c>
      <c r="B21" s="20" t="inlineStr">
        <is>
          <t>梁 雪</t>
        </is>
      </c>
      <c r="C21" s="20" t="inlineStr">
        <is>
          <t>收银</t>
        </is>
      </c>
      <c r="D21" s="20" t="inlineStr">
        <is>
          <t>早/中</t>
        </is>
      </c>
      <c r="E21" s="20" t="inlineStr">
        <is>
          <t>10 月起转全职</t>
        </is>
      </c>
    </row>
    <row r="22" ht="20" customHeight="1">
      <c r="A22" s="19" t="n"/>
      <c r="B22" s="19" t="n"/>
      <c r="C22" s="19" t="n"/>
      <c r="D22" s="19" t="n"/>
      <c r="E22" s="19" t="n"/>
    </row>
    <row r="23" ht="20" customHeight="1">
      <c r="A23" s="20" t="n"/>
      <c r="B23" s="20" t="n"/>
      <c r="C23" s="20" t="n"/>
      <c r="D23" s="20" t="n"/>
      <c r="E23" s="20" t="n"/>
    </row>
    <row r="24" ht="20" customHeight="1">
      <c r="A24" s="19" t="n"/>
      <c r="B24" s="19" t="n"/>
      <c r="C24" s="19" t="n"/>
      <c r="D24" s="19" t="n"/>
      <c r="E24" s="19" t="n"/>
    </row>
    <row r="25" ht="20" customHeight="1">
      <c r="A25" s="20" t="n"/>
      <c r="B25" s="20" t="n"/>
      <c r="C25" s="20" t="n"/>
      <c r="D25" s="20" t="n"/>
      <c r="E25" s="20" t="n"/>
    </row>
    <row r="26" ht="20" customHeight="1">
      <c r="A26" s="19" t="n"/>
      <c r="B26" s="19" t="n"/>
      <c r="C26" s="19" t="n"/>
      <c r="D26" s="19" t="n"/>
      <c r="E26" s="19" t="n"/>
    </row>
    <row r="27" ht="20" customHeight="1">
      <c r="A27" s="20" t="n"/>
      <c r="B27" s="20" t="n"/>
      <c r="C27" s="20" t="n"/>
      <c r="D27" s="20" t="n"/>
      <c r="E27" s="20" t="n"/>
    </row>
    <row r="28" ht="20" customHeight="1">
      <c r="A28" s="19" t="n"/>
      <c r="B28" s="19" t="n"/>
      <c r="C28" s="19" t="n"/>
      <c r="D28" s="19" t="n"/>
      <c r="E28" s="19" t="n"/>
    </row>
    <row r="29" ht="20" customHeight="1">
      <c r="A29" s="20" t="n"/>
      <c r="B29" s="20" t="n"/>
      <c r="C29" s="20" t="n"/>
      <c r="D29" s="20" t="n"/>
      <c r="E29" s="20" t="n"/>
    </row>
    <row r="30" ht="20" customHeight="1">
      <c r="A30" s="19" t="n"/>
      <c r="B30" s="19" t="n"/>
      <c r="C30" s="19" t="n"/>
      <c r="D30" s="19" t="n"/>
      <c r="E30" s="19" t="n"/>
    </row>
    <row r="31" ht="20" customHeight="1">
      <c r="A31" s="20" t="n"/>
      <c r="B31" s="20" t="n"/>
      <c r="C31" s="20" t="n"/>
      <c r="D31" s="20" t="n"/>
      <c r="E31" s="20" t="n"/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32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4.4" customWidth="1" min="3" max="3"/>
    <col width="4.4" customWidth="1" min="4" max="4"/>
    <col width="4.4" customWidth="1" min="5" max="5"/>
    <col width="4.4" customWidth="1" min="6" max="6"/>
    <col width="4.4" customWidth="1" min="7" max="7"/>
    <col width="4.4" customWidth="1" min="8" max="8"/>
    <col width="4.4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</cols>
  <sheetData>
    <row r="1" ht="30" customHeight="1">
      <c r="A1" s="21">
        <f>参数设置!$C$5&amp;"　月度排班表（"&amp;参数设置!$C$6&amp;" 天）"</f>
        <v/>
      </c>
    </row>
    <row r="2" ht="22" customHeight="1">
      <c r="A2" s="18" t="inlineStr">
        <is>
          <t>工号</t>
        </is>
      </c>
      <c r="B2" s="18" t="inlineStr">
        <is>
          <t>姓名</t>
        </is>
      </c>
      <c r="C2" s="22" t="n">
        <v>1</v>
      </c>
      <c r="D2" s="18" t="n">
        <v>2</v>
      </c>
      <c r="E2" s="22" t="n">
        <v>3</v>
      </c>
      <c r="F2" s="18" t="n">
        <v>4</v>
      </c>
      <c r="G2" s="22" t="n">
        <v>5</v>
      </c>
      <c r="H2" s="18" t="n">
        <v>6</v>
      </c>
      <c r="I2" s="22" t="n">
        <v>7</v>
      </c>
      <c r="J2" s="18" t="n">
        <v>8</v>
      </c>
      <c r="K2" s="22" t="n">
        <v>9</v>
      </c>
      <c r="L2" s="18" t="n">
        <v>10</v>
      </c>
      <c r="M2" s="22" t="n">
        <v>11</v>
      </c>
      <c r="N2" s="18" t="n">
        <v>12</v>
      </c>
      <c r="O2" s="22" t="n">
        <v>13</v>
      </c>
      <c r="P2" s="18" t="n">
        <v>14</v>
      </c>
      <c r="Q2" s="22" t="n">
        <v>15</v>
      </c>
      <c r="R2" s="18" t="n">
        <v>16</v>
      </c>
      <c r="S2" s="22" t="n">
        <v>17</v>
      </c>
      <c r="T2" s="18" t="n">
        <v>18</v>
      </c>
      <c r="U2" s="22" t="n">
        <v>19</v>
      </c>
      <c r="V2" s="18" t="n">
        <v>20</v>
      </c>
      <c r="W2" s="22" t="n">
        <v>21</v>
      </c>
      <c r="X2" s="18" t="n">
        <v>22</v>
      </c>
      <c r="Y2" s="22" t="n">
        <v>23</v>
      </c>
      <c r="Z2" s="18" t="n">
        <v>24</v>
      </c>
      <c r="AA2" s="22" t="n">
        <v>25</v>
      </c>
      <c r="AB2" s="18" t="n">
        <v>26</v>
      </c>
      <c r="AC2" s="22" t="n">
        <v>27</v>
      </c>
      <c r="AD2" s="18" t="n">
        <v>28</v>
      </c>
      <c r="AE2" s="22" t="n">
        <v>29</v>
      </c>
      <c r="AF2" s="18" t="n">
        <v>30</v>
      </c>
      <c r="AG2" s="22" t="n">
        <v>31</v>
      </c>
    </row>
    <row r="3" ht="20" customHeight="1">
      <c r="A3" s="19">
        <f>IF(员工与班次!A2="","",员工与班次!A2)</f>
        <v/>
      </c>
      <c r="B3" s="19">
        <f>IF(员工与班次!A2="","",员工与班次!B2)</f>
        <v/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</row>
    <row r="4" ht="20" customHeight="1">
      <c r="A4" s="20">
        <f>IF(员工与班次!A3="","",员工与班次!A3)</f>
        <v/>
      </c>
      <c r="B4" s="20">
        <f>IF(员工与班次!A3="","",员工与班次!B3)</f>
        <v/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</row>
    <row r="5" ht="20" customHeight="1">
      <c r="A5" s="19">
        <f>IF(员工与班次!A4="","",员工与班次!A4)</f>
        <v/>
      </c>
      <c r="B5" s="19">
        <f>IF(员工与班次!A4="","",员工与班次!B4)</f>
        <v/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</row>
    <row r="6" ht="20" customHeight="1">
      <c r="A6" s="20">
        <f>IF(员工与班次!A5="","",员工与班次!A5)</f>
        <v/>
      </c>
      <c r="B6" s="20">
        <f>IF(员工与班次!A5="","",员工与班次!B5)</f>
        <v/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</row>
    <row r="7" ht="20" customHeight="1">
      <c r="A7" s="19">
        <f>IF(员工与班次!A6="","",员工与班次!A6)</f>
        <v/>
      </c>
      <c r="B7" s="19">
        <f>IF(员工与班次!A6="","",员工与班次!B6)</f>
        <v/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</row>
    <row r="8" ht="20" customHeight="1">
      <c r="A8" s="20">
        <f>IF(员工与班次!A7="","",员工与班次!A7)</f>
        <v/>
      </c>
      <c r="B8" s="20">
        <f>IF(员工与班次!A7="","",员工与班次!B7)</f>
        <v/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</row>
    <row r="9" ht="20" customHeight="1">
      <c r="A9" s="19">
        <f>IF(员工与班次!A8="","",员工与班次!A8)</f>
        <v/>
      </c>
      <c r="B9" s="19">
        <f>IF(员工与班次!A8="","",员工与班次!B8)</f>
        <v/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</row>
    <row r="10" ht="20" customHeight="1">
      <c r="A10" s="20">
        <f>IF(员工与班次!A9="","",员工与班次!A9)</f>
        <v/>
      </c>
      <c r="B10" s="20">
        <f>IF(员工与班次!A9="","",员工与班次!B9)</f>
        <v/>
      </c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</row>
    <row r="11" ht="20" customHeight="1">
      <c r="A11" s="19">
        <f>IF(员工与班次!A10="","",员工与班次!A10)</f>
        <v/>
      </c>
      <c r="B11" s="19">
        <f>IF(员工与班次!A10="","",员工与班次!B10)</f>
        <v/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</row>
    <row r="12" ht="20" customHeight="1">
      <c r="A12" s="20">
        <f>IF(员工与班次!A11="","",员工与班次!A11)</f>
        <v/>
      </c>
      <c r="B12" s="20">
        <f>IF(员工与班次!A11="","",员工与班次!B11)</f>
        <v/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</row>
    <row r="13" ht="20" customHeight="1">
      <c r="A13" s="19">
        <f>IF(员工与班次!A12="","",员工与班次!A12)</f>
        <v/>
      </c>
      <c r="B13" s="19">
        <f>IF(员工与班次!A12="","",员工与班次!B12)</f>
        <v/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</row>
    <row r="14" ht="20" customHeight="1">
      <c r="A14" s="20">
        <f>IF(员工与班次!A13="","",员工与班次!A13)</f>
        <v/>
      </c>
      <c r="B14" s="20">
        <f>IF(员工与班次!A13="","",员工与班次!B13)</f>
        <v/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</row>
    <row r="15" ht="20" customHeight="1">
      <c r="A15" s="19">
        <f>IF(员工与班次!A14="","",员工与班次!A14)</f>
        <v/>
      </c>
      <c r="B15" s="19">
        <f>IF(员工与班次!A14="","",员工与班次!B14)</f>
        <v/>
      </c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</row>
    <row r="16" ht="20" customHeight="1">
      <c r="A16" s="20">
        <f>IF(员工与班次!A15="","",员工与班次!A15)</f>
        <v/>
      </c>
      <c r="B16" s="20">
        <f>IF(员工与班次!A15="","",员工与班次!B15)</f>
        <v/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</row>
    <row r="17" ht="20" customHeight="1">
      <c r="A17" s="19">
        <f>IF(员工与班次!A16="","",员工与班次!A16)</f>
        <v/>
      </c>
      <c r="B17" s="19">
        <f>IF(员工与班次!A16="","",员工与班次!B16)</f>
        <v/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</row>
    <row r="18" ht="20" customHeight="1">
      <c r="A18" s="20">
        <f>IF(员工与班次!A17="","",员工与班次!A17)</f>
        <v/>
      </c>
      <c r="B18" s="20">
        <f>IF(员工与班次!A17="","",员工与班次!B17)</f>
        <v/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</row>
    <row r="19" ht="20" customHeight="1">
      <c r="A19" s="19">
        <f>IF(员工与班次!A18="","",员工与班次!A18)</f>
        <v/>
      </c>
      <c r="B19" s="19">
        <f>IF(员工与班次!A18="","",员工与班次!B18)</f>
        <v/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</row>
    <row r="20" ht="20" customHeight="1">
      <c r="A20" s="20">
        <f>IF(员工与班次!A19="","",员工与班次!A19)</f>
        <v/>
      </c>
      <c r="B20" s="20">
        <f>IF(员工与班次!A19="","",员工与班次!B19)</f>
        <v/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</row>
    <row r="21" ht="20" customHeight="1">
      <c r="A21" s="19">
        <f>IF(员工与班次!A20="","",员工与班次!A20)</f>
        <v/>
      </c>
      <c r="B21" s="19">
        <f>IF(员工与班次!A20="","",员工与班次!B20)</f>
        <v/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</row>
    <row r="22" ht="20" customHeight="1">
      <c r="A22" s="20">
        <f>IF(员工与班次!A21="","",员工与班次!A21)</f>
        <v/>
      </c>
      <c r="B22" s="20">
        <f>IF(员工与班次!A21="","",员工与班次!B21)</f>
        <v/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</row>
    <row r="23" ht="20" customHeight="1">
      <c r="A23" s="19">
        <f>IF(员工与班次!A22="","",员工与班次!A22)</f>
        <v/>
      </c>
      <c r="B23" s="19">
        <f>IF(员工与班次!A22="","",员工与班次!B22)</f>
        <v/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</row>
    <row r="24" ht="20" customHeight="1">
      <c r="A24" s="20">
        <f>IF(员工与班次!A23="","",员工与班次!A23)</f>
        <v/>
      </c>
      <c r="B24" s="20">
        <f>IF(员工与班次!A23="","",员工与班次!B23)</f>
        <v/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</row>
    <row r="25" ht="20" customHeight="1">
      <c r="A25" s="19">
        <f>IF(员工与班次!A24="","",员工与班次!A24)</f>
        <v/>
      </c>
      <c r="B25" s="19">
        <f>IF(员工与班次!A24="","",员工与班次!B24)</f>
        <v/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</row>
    <row r="26" ht="20" customHeight="1">
      <c r="A26" s="20">
        <f>IF(员工与班次!A25="","",员工与班次!A25)</f>
        <v/>
      </c>
      <c r="B26" s="20">
        <f>IF(员工与班次!A25="","",员工与班次!B25)</f>
        <v/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</row>
    <row r="27" ht="20" customHeight="1">
      <c r="A27" s="19">
        <f>IF(员工与班次!A26="","",员工与班次!A26)</f>
        <v/>
      </c>
      <c r="B27" s="19">
        <f>IF(员工与班次!A26="","",员工与班次!B26)</f>
        <v/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</row>
    <row r="28" ht="20" customHeight="1">
      <c r="A28" s="20">
        <f>IF(员工与班次!A27="","",员工与班次!A27)</f>
        <v/>
      </c>
      <c r="B28" s="20">
        <f>IF(员工与班次!A27="","",员工与班次!B27)</f>
        <v/>
      </c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</row>
    <row r="29" ht="20" customHeight="1">
      <c r="A29" s="19">
        <f>IF(员工与班次!A28="","",员工与班次!A28)</f>
        <v/>
      </c>
      <c r="B29" s="19">
        <f>IF(员工与班次!A28="","",员工与班次!B28)</f>
        <v/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</row>
    <row r="30" ht="20" customHeight="1">
      <c r="A30" s="20">
        <f>IF(员工与班次!A29="","",员工与班次!A29)</f>
        <v/>
      </c>
      <c r="B30" s="20">
        <f>IF(员工与班次!A29="","",员工与班次!B29)</f>
        <v/>
      </c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</row>
    <row r="31" ht="20" customHeight="1">
      <c r="A31" s="19">
        <f>IF(员工与班次!A30="","",员工与班次!A30)</f>
        <v/>
      </c>
      <c r="B31" s="19">
        <f>IF(员工与班次!A30="","",员工与班次!B30)</f>
        <v/>
      </c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</row>
    <row r="32" ht="20" customHeight="1">
      <c r="A32" s="20">
        <f>IF(员工与班次!A31="","",员工与班次!A31)</f>
        <v/>
      </c>
      <c r="B32" s="20">
        <f>IF(员工与班次!A31="","",员工与班次!B31)</f>
        <v/>
      </c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</row>
  </sheetData>
  <mergeCells count="1">
    <mergeCell ref="A1:AG1"/>
  </mergeCells>
  <conditionalFormatting sqref="C3:AG32">
    <cfRule type="expression" priority="1" dxfId="0" stopIfTrue="0">
      <formula>C3="早"</formula>
    </cfRule>
    <cfRule type="expression" priority="2" dxfId="1" stopIfTrue="0">
      <formula>C3="中"</formula>
    </cfRule>
    <cfRule type="expression" priority="3" dxfId="2" stopIfTrue="0">
      <formula>C3="晚"</formula>
    </cfRule>
    <cfRule type="expression" priority="4" dxfId="3" stopIfTrue="0">
      <formula>C3="休"</formula>
    </cfRule>
    <cfRule type="expression" priority="5" dxfId="4" stopIfTrue="0">
      <formula>C3="年假"</formula>
    </cfRule>
  </conditionalFormatting>
  <dataValidations count="1">
    <dataValidation sqref="C3:AG32" showDropDown="0" showInputMessage="0" showErrorMessage="0" allowBlank="1" errorTitle="只能选这五种班次" error="请从下拉里选：早 / 中 / 晚 / 休 / 年假" prompt="点右侧箭头选择班次" type="list">
      <formula1>"早,中,晚,休,年假"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2" customWidth="1" min="10" max="10"/>
  </cols>
  <sheetData>
    <row r="1" ht="32" customHeight="1">
      <c r="A1" s="24" t="inlineStr">
        <is>
          <t>工号</t>
        </is>
      </c>
      <c r="B1" s="24" t="inlineStr">
        <is>
          <t>姓名</t>
        </is>
      </c>
      <c r="C1" s="24" t="inlineStr">
        <is>
          <t>岗位</t>
        </is>
      </c>
      <c r="D1" s="24" t="inlineStr">
        <is>
          <t>早班</t>
        </is>
      </c>
      <c r="E1" s="24" t="inlineStr">
        <is>
          <t>中班</t>
        </is>
      </c>
      <c r="F1" s="24" t="inlineStr">
        <is>
          <t>晚班</t>
        </is>
      </c>
      <c r="G1" s="24" t="inlineStr">
        <is>
          <t>休息</t>
        </is>
      </c>
      <c r="H1" s="24" t="inlineStr">
        <is>
          <t>年假</t>
        </is>
      </c>
      <c r="I1" s="24" t="inlineStr">
        <is>
          <t>出勤合计</t>
        </is>
      </c>
      <c r="J1" s="24" t="inlineStr">
        <is>
          <t>本月总工时</t>
        </is>
      </c>
    </row>
    <row r="3" ht="21" customHeight="1">
      <c r="A3" s="19">
        <f>IF(员工与班次!A2="","",员工与班次!A2)</f>
        <v/>
      </c>
      <c r="B3" s="19">
        <f>IF(员工与班次!A2="","",员工与班次!B2)</f>
        <v/>
      </c>
      <c r="C3" s="19">
        <f>IF(员工与班次!A2="","",员工与班次!C2)</f>
        <v/>
      </c>
      <c r="D3" s="19">
        <f>IF($A3="","",COUNTIF(排班表!$C3:$AG3,"早"))</f>
        <v/>
      </c>
      <c r="E3" s="19">
        <f>IF($A3="","",COUNTIF(排班表!$C3:$AG3,"中"))</f>
        <v/>
      </c>
      <c r="F3" s="19">
        <f>IF($A3="","",COUNTIF(排班表!$C3:$AG3,"晚"))</f>
        <v/>
      </c>
      <c r="G3" s="19">
        <f>IF($A3="","",COUNTIF(排班表!$C3:$AG3,"休"))</f>
        <v/>
      </c>
      <c r="H3" s="19">
        <f>IF($A3="","",COUNTIF(排班表!$C3:$AG3,"年假"))</f>
        <v/>
      </c>
      <c r="I3" s="19">
        <f>IF($A3="","",D3+E3+F3)</f>
        <v/>
      </c>
      <c r="J3" s="19">
        <f>IF($A3="","",(D3+E3+F3)*参数设置!$C$10)</f>
        <v/>
      </c>
    </row>
    <row r="4" ht="21" customHeight="1">
      <c r="A4" s="20">
        <f>IF(员工与班次!A3="","",员工与班次!A3)</f>
        <v/>
      </c>
      <c r="B4" s="20">
        <f>IF(员工与班次!A3="","",员工与班次!B3)</f>
        <v/>
      </c>
      <c r="C4" s="20">
        <f>IF(员工与班次!A3="","",员工与班次!C3)</f>
        <v/>
      </c>
      <c r="D4" s="20">
        <f>IF($A4="","",COUNTIF(排班表!$C4:$AG4,"早"))</f>
        <v/>
      </c>
      <c r="E4" s="20">
        <f>IF($A4="","",COUNTIF(排班表!$C4:$AG4,"中"))</f>
        <v/>
      </c>
      <c r="F4" s="20">
        <f>IF($A4="","",COUNTIF(排班表!$C4:$AG4,"晚"))</f>
        <v/>
      </c>
      <c r="G4" s="20">
        <f>IF($A4="","",COUNTIF(排班表!$C4:$AG4,"休"))</f>
        <v/>
      </c>
      <c r="H4" s="20">
        <f>IF($A4="","",COUNTIF(排班表!$C4:$AG4,"年假"))</f>
        <v/>
      </c>
      <c r="I4" s="20">
        <f>IF($A4="","",D4+E4+F4)</f>
        <v/>
      </c>
      <c r="J4" s="20">
        <f>IF($A4="","",(D4+E4+F4)*参数设置!$C$10)</f>
        <v/>
      </c>
    </row>
    <row r="5" ht="21" customHeight="1">
      <c r="A5" s="19">
        <f>IF(员工与班次!A4="","",员工与班次!A4)</f>
        <v/>
      </c>
      <c r="B5" s="19">
        <f>IF(员工与班次!A4="","",员工与班次!B4)</f>
        <v/>
      </c>
      <c r="C5" s="19">
        <f>IF(员工与班次!A4="","",员工与班次!C4)</f>
        <v/>
      </c>
      <c r="D5" s="19">
        <f>IF($A5="","",COUNTIF(排班表!$C5:$AG5,"早"))</f>
        <v/>
      </c>
      <c r="E5" s="19">
        <f>IF($A5="","",COUNTIF(排班表!$C5:$AG5,"中"))</f>
        <v/>
      </c>
      <c r="F5" s="19">
        <f>IF($A5="","",COUNTIF(排班表!$C5:$AG5,"晚"))</f>
        <v/>
      </c>
      <c r="G5" s="19">
        <f>IF($A5="","",COUNTIF(排班表!$C5:$AG5,"休"))</f>
        <v/>
      </c>
      <c r="H5" s="19">
        <f>IF($A5="","",COUNTIF(排班表!$C5:$AG5,"年假"))</f>
        <v/>
      </c>
      <c r="I5" s="19">
        <f>IF($A5="","",D5+E5+F5)</f>
        <v/>
      </c>
      <c r="J5" s="19">
        <f>IF($A5="","",(D5+E5+F5)*参数设置!$C$10)</f>
        <v/>
      </c>
    </row>
    <row r="6" ht="21" customHeight="1">
      <c r="A6" s="20">
        <f>IF(员工与班次!A5="","",员工与班次!A5)</f>
        <v/>
      </c>
      <c r="B6" s="20">
        <f>IF(员工与班次!A5="","",员工与班次!B5)</f>
        <v/>
      </c>
      <c r="C6" s="20">
        <f>IF(员工与班次!A5="","",员工与班次!C5)</f>
        <v/>
      </c>
      <c r="D6" s="20">
        <f>IF($A6="","",COUNTIF(排班表!$C6:$AG6,"早"))</f>
        <v/>
      </c>
      <c r="E6" s="20">
        <f>IF($A6="","",COUNTIF(排班表!$C6:$AG6,"中"))</f>
        <v/>
      </c>
      <c r="F6" s="20">
        <f>IF($A6="","",COUNTIF(排班表!$C6:$AG6,"晚"))</f>
        <v/>
      </c>
      <c r="G6" s="20">
        <f>IF($A6="","",COUNTIF(排班表!$C6:$AG6,"休"))</f>
        <v/>
      </c>
      <c r="H6" s="20">
        <f>IF($A6="","",COUNTIF(排班表!$C6:$AG6,"年假"))</f>
        <v/>
      </c>
      <c r="I6" s="20">
        <f>IF($A6="","",D6+E6+F6)</f>
        <v/>
      </c>
      <c r="J6" s="20">
        <f>IF($A6="","",(D6+E6+F6)*参数设置!$C$10)</f>
        <v/>
      </c>
    </row>
    <row r="7" ht="21" customHeight="1">
      <c r="A7" s="19">
        <f>IF(员工与班次!A6="","",员工与班次!A6)</f>
        <v/>
      </c>
      <c r="B7" s="19">
        <f>IF(员工与班次!A6="","",员工与班次!B6)</f>
        <v/>
      </c>
      <c r="C7" s="19">
        <f>IF(员工与班次!A6="","",员工与班次!C6)</f>
        <v/>
      </c>
      <c r="D7" s="19">
        <f>IF($A7="","",COUNTIF(排班表!$C7:$AG7,"早"))</f>
        <v/>
      </c>
      <c r="E7" s="19">
        <f>IF($A7="","",COUNTIF(排班表!$C7:$AG7,"中"))</f>
        <v/>
      </c>
      <c r="F7" s="19">
        <f>IF($A7="","",COUNTIF(排班表!$C7:$AG7,"晚"))</f>
        <v/>
      </c>
      <c r="G7" s="19">
        <f>IF($A7="","",COUNTIF(排班表!$C7:$AG7,"休"))</f>
        <v/>
      </c>
      <c r="H7" s="19">
        <f>IF($A7="","",COUNTIF(排班表!$C7:$AG7,"年假"))</f>
        <v/>
      </c>
      <c r="I7" s="19">
        <f>IF($A7="","",D7+E7+F7)</f>
        <v/>
      </c>
      <c r="J7" s="19">
        <f>IF($A7="","",(D7+E7+F7)*参数设置!$C$10)</f>
        <v/>
      </c>
    </row>
    <row r="8" ht="21" customHeight="1">
      <c r="A8" s="20">
        <f>IF(员工与班次!A7="","",员工与班次!A7)</f>
        <v/>
      </c>
      <c r="B8" s="20">
        <f>IF(员工与班次!A7="","",员工与班次!B7)</f>
        <v/>
      </c>
      <c r="C8" s="20">
        <f>IF(员工与班次!A7="","",员工与班次!C7)</f>
        <v/>
      </c>
      <c r="D8" s="20">
        <f>IF($A8="","",COUNTIF(排班表!$C8:$AG8,"早"))</f>
        <v/>
      </c>
      <c r="E8" s="20">
        <f>IF($A8="","",COUNTIF(排班表!$C8:$AG8,"中"))</f>
        <v/>
      </c>
      <c r="F8" s="20">
        <f>IF($A8="","",COUNTIF(排班表!$C8:$AG8,"晚"))</f>
        <v/>
      </c>
      <c r="G8" s="20">
        <f>IF($A8="","",COUNTIF(排班表!$C8:$AG8,"休"))</f>
        <v/>
      </c>
      <c r="H8" s="20">
        <f>IF($A8="","",COUNTIF(排班表!$C8:$AG8,"年假"))</f>
        <v/>
      </c>
      <c r="I8" s="20">
        <f>IF($A8="","",D8+E8+F8)</f>
        <v/>
      </c>
      <c r="J8" s="20">
        <f>IF($A8="","",(D8+E8+F8)*参数设置!$C$10)</f>
        <v/>
      </c>
    </row>
    <row r="9" ht="21" customHeight="1">
      <c r="A9" s="19">
        <f>IF(员工与班次!A8="","",员工与班次!A8)</f>
        <v/>
      </c>
      <c r="B9" s="19">
        <f>IF(员工与班次!A8="","",员工与班次!B8)</f>
        <v/>
      </c>
      <c r="C9" s="19">
        <f>IF(员工与班次!A8="","",员工与班次!C8)</f>
        <v/>
      </c>
      <c r="D9" s="19">
        <f>IF($A9="","",COUNTIF(排班表!$C9:$AG9,"早"))</f>
        <v/>
      </c>
      <c r="E9" s="19">
        <f>IF($A9="","",COUNTIF(排班表!$C9:$AG9,"中"))</f>
        <v/>
      </c>
      <c r="F9" s="19">
        <f>IF($A9="","",COUNTIF(排班表!$C9:$AG9,"晚"))</f>
        <v/>
      </c>
      <c r="G9" s="19">
        <f>IF($A9="","",COUNTIF(排班表!$C9:$AG9,"休"))</f>
        <v/>
      </c>
      <c r="H9" s="19">
        <f>IF($A9="","",COUNTIF(排班表!$C9:$AG9,"年假"))</f>
        <v/>
      </c>
      <c r="I9" s="19">
        <f>IF($A9="","",D9+E9+F9)</f>
        <v/>
      </c>
      <c r="J9" s="19">
        <f>IF($A9="","",(D9+E9+F9)*参数设置!$C$10)</f>
        <v/>
      </c>
    </row>
    <row r="10" ht="21" customHeight="1">
      <c r="A10" s="20">
        <f>IF(员工与班次!A9="","",员工与班次!A9)</f>
        <v/>
      </c>
      <c r="B10" s="20">
        <f>IF(员工与班次!A9="","",员工与班次!B9)</f>
        <v/>
      </c>
      <c r="C10" s="20">
        <f>IF(员工与班次!A9="","",员工与班次!C9)</f>
        <v/>
      </c>
      <c r="D10" s="20">
        <f>IF($A10="","",COUNTIF(排班表!$C10:$AG10,"早"))</f>
        <v/>
      </c>
      <c r="E10" s="20">
        <f>IF($A10="","",COUNTIF(排班表!$C10:$AG10,"中"))</f>
        <v/>
      </c>
      <c r="F10" s="20">
        <f>IF($A10="","",COUNTIF(排班表!$C10:$AG10,"晚"))</f>
        <v/>
      </c>
      <c r="G10" s="20">
        <f>IF($A10="","",COUNTIF(排班表!$C10:$AG10,"休"))</f>
        <v/>
      </c>
      <c r="H10" s="20">
        <f>IF($A10="","",COUNTIF(排班表!$C10:$AG10,"年假"))</f>
        <v/>
      </c>
      <c r="I10" s="20">
        <f>IF($A10="","",D10+E10+F10)</f>
        <v/>
      </c>
      <c r="J10" s="20">
        <f>IF($A10="","",(D10+E10+F10)*参数设置!$C$10)</f>
        <v/>
      </c>
    </row>
    <row r="11" ht="21" customHeight="1">
      <c r="A11" s="19">
        <f>IF(员工与班次!A10="","",员工与班次!A10)</f>
        <v/>
      </c>
      <c r="B11" s="19">
        <f>IF(员工与班次!A10="","",员工与班次!B10)</f>
        <v/>
      </c>
      <c r="C11" s="19">
        <f>IF(员工与班次!A10="","",员工与班次!C10)</f>
        <v/>
      </c>
      <c r="D11" s="19">
        <f>IF($A11="","",COUNTIF(排班表!$C11:$AG11,"早"))</f>
        <v/>
      </c>
      <c r="E11" s="19">
        <f>IF($A11="","",COUNTIF(排班表!$C11:$AG11,"中"))</f>
        <v/>
      </c>
      <c r="F11" s="19">
        <f>IF($A11="","",COUNTIF(排班表!$C11:$AG11,"晚"))</f>
        <v/>
      </c>
      <c r="G11" s="19">
        <f>IF($A11="","",COUNTIF(排班表!$C11:$AG11,"休"))</f>
        <v/>
      </c>
      <c r="H11" s="19">
        <f>IF($A11="","",COUNTIF(排班表!$C11:$AG11,"年假"))</f>
        <v/>
      </c>
      <c r="I11" s="19">
        <f>IF($A11="","",D11+E11+F11)</f>
        <v/>
      </c>
      <c r="J11" s="19">
        <f>IF($A11="","",(D11+E11+F11)*参数设置!$C$10)</f>
        <v/>
      </c>
    </row>
    <row r="12" ht="21" customHeight="1">
      <c r="A12" s="20">
        <f>IF(员工与班次!A11="","",员工与班次!A11)</f>
        <v/>
      </c>
      <c r="B12" s="20">
        <f>IF(员工与班次!A11="","",员工与班次!B11)</f>
        <v/>
      </c>
      <c r="C12" s="20">
        <f>IF(员工与班次!A11="","",员工与班次!C11)</f>
        <v/>
      </c>
      <c r="D12" s="20">
        <f>IF($A12="","",COUNTIF(排班表!$C12:$AG12,"早"))</f>
        <v/>
      </c>
      <c r="E12" s="20">
        <f>IF($A12="","",COUNTIF(排班表!$C12:$AG12,"中"))</f>
        <v/>
      </c>
      <c r="F12" s="20">
        <f>IF($A12="","",COUNTIF(排班表!$C12:$AG12,"晚"))</f>
        <v/>
      </c>
      <c r="G12" s="20">
        <f>IF($A12="","",COUNTIF(排班表!$C12:$AG12,"休"))</f>
        <v/>
      </c>
      <c r="H12" s="20">
        <f>IF($A12="","",COUNTIF(排班表!$C12:$AG12,"年假"))</f>
        <v/>
      </c>
      <c r="I12" s="20">
        <f>IF($A12="","",D12+E12+F12)</f>
        <v/>
      </c>
      <c r="J12" s="20">
        <f>IF($A12="","",(D12+E12+F12)*参数设置!$C$10)</f>
        <v/>
      </c>
    </row>
    <row r="13" ht="21" customHeight="1">
      <c r="A13" s="19">
        <f>IF(员工与班次!A12="","",员工与班次!A12)</f>
        <v/>
      </c>
      <c r="B13" s="19">
        <f>IF(员工与班次!A12="","",员工与班次!B12)</f>
        <v/>
      </c>
      <c r="C13" s="19">
        <f>IF(员工与班次!A12="","",员工与班次!C12)</f>
        <v/>
      </c>
      <c r="D13" s="19">
        <f>IF($A13="","",COUNTIF(排班表!$C13:$AG13,"早"))</f>
        <v/>
      </c>
      <c r="E13" s="19">
        <f>IF($A13="","",COUNTIF(排班表!$C13:$AG13,"中"))</f>
        <v/>
      </c>
      <c r="F13" s="19">
        <f>IF($A13="","",COUNTIF(排班表!$C13:$AG13,"晚"))</f>
        <v/>
      </c>
      <c r="G13" s="19">
        <f>IF($A13="","",COUNTIF(排班表!$C13:$AG13,"休"))</f>
        <v/>
      </c>
      <c r="H13" s="19">
        <f>IF($A13="","",COUNTIF(排班表!$C13:$AG13,"年假"))</f>
        <v/>
      </c>
      <c r="I13" s="19">
        <f>IF($A13="","",D13+E13+F13)</f>
        <v/>
      </c>
      <c r="J13" s="19">
        <f>IF($A13="","",(D13+E13+F13)*参数设置!$C$10)</f>
        <v/>
      </c>
    </row>
    <row r="14" ht="21" customHeight="1">
      <c r="A14" s="20">
        <f>IF(员工与班次!A13="","",员工与班次!A13)</f>
        <v/>
      </c>
      <c r="B14" s="20">
        <f>IF(员工与班次!A13="","",员工与班次!B13)</f>
        <v/>
      </c>
      <c r="C14" s="20">
        <f>IF(员工与班次!A13="","",员工与班次!C13)</f>
        <v/>
      </c>
      <c r="D14" s="20">
        <f>IF($A14="","",COUNTIF(排班表!$C14:$AG14,"早"))</f>
        <v/>
      </c>
      <c r="E14" s="20">
        <f>IF($A14="","",COUNTIF(排班表!$C14:$AG14,"中"))</f>
        <v/>
      </c>
      <c r="F14" s="20">
        <f>IF($A14="","",COUNTIF(排班表!$C14:$AG14,"晚"))</f>
        <v/>
      </c>
      <c r="G14" s="20">
        <f>IF($A14="","",COUNTIF(排班表!$C14:$AG14,"休"))</f>
        <v/>
      </c>
      <c r="H14" s="20">
        <f>IF($A14="","",COUNTIF(排班表!$C14:$AG14,"年假"))</f>
        <v/>
      </c>
      <c r="I14" s="20">
        <f>IF($A14="","",D14+E14+F14)</f>
        <v/>
      </c>
      <c r="J14" s="20">
        <f>IF($A14="","",(D14+E14+F14)*参数设置!$C$10)</f>
        <v/>
      </c>
    </row>
    <row r="15" ht="21" customHeight="1">
      <c r="A15" s="19">
        <f>IF(员工与班次!A14="","",员工与班次!A14)</f>
        <v/>
      </c>
      <c r="B15" s="19">
        <f>IF(员工与班次!A14="","",员工与班次!B14)</f>
        <v/>
      </c>
      <c r="C15" s="19">
        <f>IF(员工与班次!A14="","",员工与班次!C14)</f>
        <v/>
      </c>
      <c r="D15" s="19">
        <f>IF($A15="","",COUNTIF(排班表!$C15:$AG15,"早"))</f>
        <v/>
      </c>
      <c r="E15" s="19">
        <f>IF($A15="","",COUNTIF(排班表!$C15:$AG15,"中"))</f>
        <v/>
      </c>
      <c r="F15" s="19">
        <f>IF($A15="","",COUNTIF(排班表!$C15:$AG15,"晚"))</f>
        <v/>
      </c>
      <c r="G15" s="19">
        <f>IF($A15="","",COUNTIF(排班表!$C15:$AG15,"休"))</f>
        <v/>
      </c>
      <c r="H15" s="19">
        <f>IF($A15="","",COUNTIF(排班表!$C15:$AG15,"年假"))</f>
        <v/>
      </c>
      <c r="I15" s="19">
        <f>IF($A15="","",D15+E15+F15)</f>
        <v/>
      </c>
      <c r="J15" s="19">
        <f>IF($A15="","",(D15+E15+F15)*参数设置!$C$10)</f>
        <v/>
      </c>
    </row>
    <row r="16" ht="21" customHeight="1">
      <c r="A16" s="20">
        <f>IF(员工与班次!A15="","",员工与班次!A15)</f>
        <v/>
      </c>
      <c r="B16" s="20">
        <f>IF(员工与班次!A15="","",员工与班次!B15)</f>
        <v/>
      </c>
      <c r="C16" s="20">
        <f>IF(员工与班次!A15="","",员工与班次!C15)</f>
        <v/>
      </c>
      <c r="D16" s="20">
        <f>IF($A16="","",COUNTIF(排班表!$C16:$AG16,"早"))</f>
        <v/>
      </c>
      <c r="E16" s="20">
        <f>IF($A16="","",COUNTIF(排班表!$C16:$AG16,"中"))</f>
        <v/>
      </c>
      <c r="F16" s="20">
        <f>IF($A16="","",COUNTIF(排班表!$C16:$AG16,"晚"))</f>
        <v/>
      </c>
      <c r="G16" s="20">
        <f>IF($A16="","",COUNTIF(排班表!$C16:$AG16,"休"))</f>
        <v/>
      </c>
      <c r="H16" s="20">
        <f>IF($A16="","",COUNTIF(排班表!$C16:$AG16,"年假"))</f>
        <v/>
      </c>
      <c r="I16" s="20">
        <f>IF($A16="","",D16+E16+F16)</f>
        <v/>
      </c>
      <c r="J16" s="20">
        <f>IF($A16="","",(D16+E16+F16)*参数设置!$C$10)</f>
        <v/>
      </c>
    </row>
    <row r="17" ht="21" customHeight="1">
      <c r="A17" s="19">
        <f>IF(员工与班次!A16="","",员工与班次!A16)</f>
        <v/>
      </c>
      <c r="B17" s="19">
        <f>IF(员工与班次!A16="","",员工与班次!B16)</f>
        <v/>
      </c>
      <c r="C17" s="19">
        <f>IF(员工与班次!A16="","",员工与班次!C16)</f>
        <v/>
      </c>
      <c r="D17" s="19">
        <f>IF($A17="","",COUNTIF(排班表!$C17:$AG17,"早"))</f>
        <v/>
      </c>
      <c r="E17" s="19">
        <f>IF($A17="","",COUNTIF(排班表!$C17:$AG17,"中"))</f>
        <v/>
      </c>
      <c r="F17" s="19">
        <f>IF($A17="","",COUNTIF(排班表!$C17:$AG17,"晚"))</f>
        <v/>
      </c>
      <c r="G17" s="19">
        <f>IF($A17="","",COUNTIF(排班表!$C17:$AG17,"休"))</f>
        <v/>
      </c>
      <c r="H17" s="19">
        <f>IF($A17="","",COUNTIF(排班表!$C17:$AG17,"年假"))</f>
        <v/>
      </c>
      <c r="I17" s="19">
        <f>IF($A17="","",D17+E17+F17)</f>
        <v/>
      </c>
      <c r="J17" s="19">
        <f>IF($A17="","",(D17+E17+F17)*参数设置!$C$10)</f>
        <v/>
      </c>
    </row>
    <row r="18" ht="21" customHeight="1">
      <c r="A18" s="20">
        <f>IF(员工与班次!A17="","",员工与班次!A17)</f>
        <v/>
      </c>
      <c r="B18" s="20">
        <f>IF(员工与班次!A17="","",员工与班次!B17)</f>
        <v/>
      </c>
      <c r="C18" s="20">
        <f>IF(员工与班次!A17="","",员工与班次!C17)</f>
        <v/>
      </c>
      <c r="D18" s="20">
        <f>IF($A18="","",COUNTIF(排班表!$C18:$AG18,"早"))</f>
        <v/>
      </c>
      <c r="E18" s="20">
        <f>IF($A18="","",COUNTIF(排班表!$C18:$AG18,"中"))</f>
        <v/>
      </c>
      <c r="F18" s="20">
        <f>IF($A18="","",COUNTIF(排班表!$C18:$AG18,"晚"))</f>
        <v/>
      </c>
      <c r="G18" s="20">
        <f>IF($A18="","",COUNTIF(排班表!$C18:$AG18,"休"))</f>
        <v/>
      </c>
      <c r="H18" s="20">
        <f>IF($A18="","",COUNTIF(排班表!$C18:$AG18,"年假"))</f>
        <v/>
      </c>
      <c r="I18" s="20">
        <f>IF($A18="","",D18+E18+F18)</f>
        <v/>
      </c>
      <c r="J18" s="20">
        <f>IF($A18="","",(D18+E18+F18)*参数设置!$C$10)</f>
        <v/>
      </c>
    </row>
    <row r="19" ht="21" customHeight="1">
      <c r="A19" s="19">
        <f>IF(员工与班次!A18="","",员工与班次!A18)</f>
        <v/>
      </c>
      <c r="B19" s="19">
        <f>IF(员工与班次!A18="","",员工与班次!B18)</f>
        <v/>
      </c>
      <c r="C19" s="19">
        <f>IF(员工与班次!A18="","",员工与班次!C18)</f>
        <v/>
      </c>
      <c r="D19" s="19">
        <f>IF($A19="","",COUNTIF(排班表!$C19:$AG19,"早"))</f>
        <v/>
      </c>
      <c r="E19" s="19">
        <f>IF($A19="","",COUNTIF(排班表!$C19:$AG19,"中"))</f>
        <v/>
      </c>
      <c r="F19" s="19">
        <f>IF($A19="","",COUNTIF(排班表!$C19:$AG19,"晚"))</f>
        <v/>
      </c>
      <c r="G19" s="19">
        <f>IF($A19="","",COUNTIF(排班表!$C19:$AG19,"休"))</f>
        <v/>
      </c>
      <c r="H19" s="19">
        <f>IF($A19="","",COUNTIF(排班表!$C19:$AG19,"年假"))</f>
        <v/>
      </c>
      <c r="I19" s="19">
        <f>IF($A19="","",D19+E19+F19)</f>
        <v/>
      </c>
      <c r="J19" s="19">
        <f>IF($A19="","",(D19+E19+F19)*参数设置!$C$10)</f>
        <v/>
      </c>
    </row>
    <row r="20" ht="21" customHeight="1">
      <c r="A20" s="20">
        <f>IF(员工与班次!A19="","",员工与班次!A19)</f>
        <v/>
      </c>
      <c r="B20" s="20">
        <f>IF(员工与班次!A19="","",员工与班次!B19)</f>
        <v/>
      </c>
      <c r="C20" s="20">
        <f>IF(员工与班次!A19="","",员工与班次!C19)</f>
        <v/>
      </c>
      <c r="D20" s="20">
        <f>IF($A20="","",COUNTIF(排班表!$C20:$AG20,"早"))</f>
        <v/>
      </c>
      <c r="E20" s="20">
        <f>IF($A20="","",COUNTIF(排班表!$C20:$AG20,"中"))</f>
        <v/>
      </c>
      <c r="F20" s="20">
        <f>IF($A20="","",COUNTIF(排班表!$C20:$AG20,"晚"))</f>
        <v/>
      </c>
      <c r="G20" s="20">
        <f>IF($A20="","",COUNTIF(排班表!$C20:$AG20,"休"))</f>
        <v/>
      </c>
      <c r="H20" s="20">
        <f>IF($A20="","",COUNTIF(排班表!$C20:$AG20,"年假"))</f>
        <v/>
      </c>
      <c r="I20" s="20">
        <f>IF($A20="","",D20+E20+F20)</f>
        <v/>
      </c>
      <c r="J20" s="20">
        <f>IF($A20="","",(D20+E20+F20)*参数设置!$C$10)</f>
        <v/>
      </c>
    </row>
    <row r="21" ht="21" customHeight="1">
      <c r="A21" s="19">
        <f>IF(员工与班次!A20="","",员工与班次!A20)</f>
        <v/>
      </c>
      <c r="B21" s="19">
        <f>IF(员工与班次!A20="","",员工与班次!B20)</f>
        <v/>
      </c>
      <c r="C21" s="19">
        <f>IF(员工与班次!A20="","",员工与班次!C20)</f>
        <v/>
      </c>
      <c r="D21" s="19">
        <f>IF($A21="","",COUNTIF(排班表!$C21:$AG21,"早"))</f>
        <v/>
      </c>
      <c r="E21" s="19">
        <f>IF($A21="","",COUNTIF(排班表!$C21:$AG21,"中"))</f>
        <v/>
      </c>
      <c r="F21" s="19">
        <f>IF($A21="","",COUNTIF(排班表!$C21:$AG21,"晚"))</f>
        <v/>
      </c>
      <c r="G21" s="19">
        <f>IF($A21="","",COUNTIF(排班表!$C21:$AG21,"休"))</f>
        <v/>
      </c>
      <c r="H21" s="19">
        <f>IF($A21="","",COUNTIF(排班表!$C21:$AG21,"年假"))</f>
        <v/>
      </c>
      <c r="I21" s="19">
        <f>IF($A21="","",D21+E21+F21)</f>
        <v/>
      </c>
      <c r="J21" s="19">
        <f>IF($A21="","",(D21+E21+F21)*参数设置!$C$10)</f>
        <v/>
      </c>
    </row>
    <row r="22" ht="21" customHeight="1">
      <c r="A22" s="20">
        <f>IF(员工与班次!A21="","",员工与班次!A21)</f>
        <v/>
      </c>
      <c r="B22" s="20">
        <f>IF(员工与班次!A21="","",员工与班次!B21)</f>
        <v/>
      </c>
      <c r="C22" s="20">
        <f>IF(员工与班次!A21="","",员工与班次!C21)</f>
        <v/>
      </c>
      <c r="D22" s="20">
        <f>IF($A22="","",COUNTIF(排班表!$C22:$AG22,"早"))</f>
        <v/>
      </c>
      <c r="E22" s="20">
        <f>IF($A22="","",COUNTIF(排班表!$C22:$AG22,"中"))</f>
        <v/>
      </c>
      <c r="F22" s="20">
        <f>IF($A22="","",COUNTIF(排班表!$C22:$AG22,"晚"))</f>
        <v/>
      </c>
      <c r="G22" s="20">
        <f>IF($A22="","",COUNTIF(排班表!$C22:$AG22,"休"))</f>
        <v/>
      </c>
      <c r="H22" s="20">
        <f>IF($A22="","",COUNTIF(排班表!$C22:$AG22,"年假"))</f>
        <v/>
      </c>
      <c r="I22" s="20">
        <f>IF($A22="","",D22+E22+F22)</f>
        <v/>
      </c>
      <c r="J22" s="20">
        <f>IF($A22="","",(D22+E22+F22)*参数设置!$C$10)</f>
        <v/>
      </c>
    </row>
    <row r="23" ht="21" customHeight="1">
      <c r="A23" s="19">
        <f>IF(员工与班次!A22="","",员工与班次!A22)</f>
        <v/>
      </c>
      <c r="B23" s="19">
        <f>IF(员工与班次!A22="","",员工与班次!B22)</f>
        <v/>
      </c>
      <c r="C23" s="19">
        <f>IF(员工与班次!A22="","",员工与班次!C22)</f>
        <v/>
      </c>
      <c r="D23" s="19">
        <f>IF($A23="","",COUNTIF(排班表!$C23:$AG23,"早"))</f>
        <v/>
      </c>
      <c r="E23" s="19">
        <f>IF($A23="","",COUNTIF(排班表!$C23:$AG23,"中"))</f>
        <v/>
      </c>
      <c r="F23" s="19">
        <f>IF($A23="","",COUNTIF(排班表!$C23:$AG23,"晚"))</f>
        <v/>
      </c>
      <c r="G23" s="19">
        <f>IF($A23="","",COUNTIF(排班表!$C23:$AG23,"休"))</f>
        <v/>
      </c>
      <c r="H23" s="19">
        <f>IF($A23="","",COUNTIF(排班表!$C23:$AG23,"年假"))</f>
        <v/>
      </c>
      <c r="I23" s="19">
        <f>IF($A23="","",D23+E23+F23)</f>
        <v/>
      </c>
      <c r="J23" s="19">
        <f>IF($A23="","",(D23+E23+F23)*参数设置!$C$10)</f>
        <v/>
      </c>
    </row>
    <row r="24" ht="21" customHeight="1">
      <c r="A24" s="20">
        <f>IF(员工与班次!A23="","",员工与班次!A23)</f>
        <v/>
      </c>
      <c r="B24" s="20">
        <f>IF(员工与班次!A23="","",员工与班次!B23)</f>
        <v/>
      </c>
      <c r="C24" s="20">
        <f>IF(员工与班次!A23="","",员工与班次!C23)</f>
        <v/>
      </c>
      <c r="D24" s="20">
        <f>IF($A24="","",COUNTIF(排班表!$C24:$AG24,"早"))</f>
        <v/>
      </c>
      <c r="E24" s="20">
        <f>IF($A24="","",COUNTIF(排班表!$C24:$AG24,"中"))</f>
        <v/>
      </c>
      <c r="F24" s="20">
        <f>IF($A24="","",COUNTIF(排班表!$C24:$AG24,"晚"))</f>
        <v/>
      </c>
      <c r="G24" s="20">
        <f>IF($A24="","",COUNTIF(排班表!$C24:$AG24,"休"))</f>
        <v/>
      </c>
      <c r="H24" s="20">
        <f>IF($A24="","",COUNTIF(排班表!$C24:$AG24,"年假"))</f>
        <v/>
      </c>
      <c r="I24" s="20">
        <f>IF($A24="","",D24+E24+F24)</f>
        <v/>
      </c>
      <c r="J24" s="20">
        <f>IF($A24="","",(D24+E24+F24)*参数设置!$C$10)</f>
        <v/>
      </c>
    </row>
    <row r="25" ht="21" customHeight="1">
      <c r="A25" s="19">
        <f>IF(员工与班次!A24="","",员工与班次!A24)</f>
        <v/>
      </c>
      <c r="B25" s="19">
        <f>IF(员工与班次!A24="","",员工与班次!B24)</f>
        <v/>
      </c>
      <c r="C25" s="19">
        <f>IF(员工与班次!A24="","",员工与班次!C24)</f>
        <v/>
      </c>
      <c r="D25" s="19">
        <f>IF($A25="","",COUNTIF(排班表!$C25:$AG25,"早"))</f>
        <v/>
      </c>
      <c r="E25" s="19">
        <f>IF($A25="","",COUNTIF(排班表!$C25:$AG25,"中"))</f>
        <v/>
      </c>
      <c r="F25" s="19">
        <f>IF($A25="","",COUNTIF(排班表!$C25:$AG25,"晚"))</f>
        <v/>
      </c>
      <c r="G25" s="19">
        <f>IF($A25="","",COUNTIF(排班表!$C25:$AG25,"休"))</f>
        <v/>
      </c>
      <c r="H25" s="19">
        <f>IF($A25="","",COUNTIF(排班表!$C25:$AG25,"年假"))</f>
        <v/>
      </c>
      <c r="I25" s="19">
        <f>IF($A25="","",D25+E25+F25)</f>
        <v/>
      </c>
      <c r="J25" s="19">
        <f>IF($A25="","",(D25+E25+F25)*参数设置!$C$10)</f>
        <v/>
      </c>
    </row>
    <row r="26" ht="21" customHeight="1">
      <c r="A26" s="20">
        <f>IF(员工与班次!A25="","",员工与班次!A25)</f>
        <v/>
      </c>
      <c r="B26" s="20">
        <f>IF(员工与班次!A25="","",员工与班次!B25)</f>
        <v/>
      </c>
      <c r="C26" s="20">
        <f>IF(员工与班次!A25="","",员工与班次!C25)</f>
        <v/>
      </c>
      <c r="D26" s="20">
        <f>IF($A26="","",COUNTIF(排班表!$C26:$AG26,"早"))</f>
        <v/>
      </c>
      <c r="E26" s="20">
        <f>IF($A26="","",COUNTIF(排班表!$C26:$AG26,"中"))</f>
        <v/>
      </c>
      <c r="F26" s="20">
        <f>IF($A26="","",COUNTIF(排班表!$C26:$AG26,"晚"))</f>
        <v/>
      </c>
      <c r="G26" s="20">
        <f>IF($A26="","",COUNTIF(排班表!$C26:$AG26,"休"))</f>
        <v/>
      </c>
      <c r="H26" s="20">
        <f>IF($A26="","",COUNTIF(排班表!$C26:$AG26,"年假"))</f>
        <v/>
      </c>
      <c r="I26" s="20">
        <f>IF($A26="","",D26+E26+F26)</f>
        <v/>
      </c>
      <c r="J26" s="20">
        <f>IF($A26="","",(D26+E26+F26)*参数设置!$C$10)</f>
        <v/>
      </c>
    </row>
    <row r="27" ht="21" customHeight="1">
      <c r="A27" s="19">
        <f>IF(员工与班次!A26="","",员工与班次!A26)</f>
        <v/>
      </c>
      <c r="B27" s="19">
        <f>IF(员工与班次!A26="","",员工与班次!B26)</f>
        <v/>
      </c>
      <c r="C27" s="19">
        <f>IF(员工与班次!A26="","",员工与班次!C26)</f>
        <v/>
      </c>
      <c r="D27" s="19">
        <f>IF($A27="","",COUNTIF(排班表!$C27:$AG27,"早"))</f>
        <v/>
      </c>
      <c r="E27" s="19">
        <f>IF($A27="","",COUNTIF(排班表!$C27:$AG27,"中"))</f>
        <v/>
      </c>
      <c r="F27" s="19">
        <f>IF($A27="","",COUNTIF(排班表!$C27:$AG27,"晚"))</f>
        <v/>
      </c>
      <c r="G27" s="19">
        <f>IF($A27="","",COUNTIF(排班表!$C27:$AG27,"休"))</f>
        <v/>
      </c>
      <c r="H27" s="19">
        <f>IF($A27="","",COUNTIF(排班表!$C27:$AG27,"年假"))</f>
        <v/>
      </c>
      <c r="I27" s="19">
        <f>IF($A27="","",D27+E27+F27)</f>
        <v/>
      </c>
      <c r="J27" s="19">
        <f>IF($A27="","",(D27+E27+F27)*参数设置!$C$10)</f>
        <v/>
      </c>
    </row>
    <row r="28" ht="21" customHeight="1">
      <c r="A28" s="20">
        <f>IF(员工与班次!A27="","",员工与班次!A27)</f>
        <v/>
      </c>
      <c r="B28" s="20">
        <f>IF(员工与班次!A27="","",员工与班次!B27)</f>
        <v/>
      </c>
      <c r="C28" s="20">
        <f>IF(员工与班次!A27="","",员工与班次!C27)</f>
        <v/>
      </c>
      <c r="D28" s="20">
        <f>IF($A28="","",COUNTIF(排班表!$C28:$AG28,"早"))</f>
        <v/>
      </c>
      <c r="E28" s="20">
        <f>IF($A28="","",COUNTIF(排班表!$C28:$AG28,"中"))</f>
        <v/>
      </c>
      <c r="F28" s="20">
        <f>IF($A28="","",COUNTIF(排班表!$C28:$AG28,"晚"))</f>
        <v/>
      </c>
      <c r="G28" s="20">
        <f>IF($A28="","",COUNTIF(排班表!$C28:$AG28,"休"))</f>
        <v/>
      </c>
      <c r="H28" s="20">
        <f>IF($A28="","",COUNTIF(排班表!$C28:$AG28,"年假"))</f>
        <v/>
      </c>
      <c r="I28" s="20">
        <f>IF($A28="","",D28+E28+F28)</f>
        <v/>
      </c>
      <c r="J28" s="20">
        <f>IF($A28="","",(D28+E28+F28)*参数设置!$C$10)</f>
        <v/>
      </c>
    </row>
    <row r="29" ht="21" customHeight="1">
      <c r="A29" s="19">
        <f>IF(员工与班次!A28="","",员工与班次!A28)</f>
        <v/>
      </c>
      <c r="B29" s="19">
        <f>IF(员工与班次!A28="","",员工与班次!B28)</f>
        <v/>
      </c>
      <c r="C29" s="19">
        <f>IF(员工与班次!A28="","",员工与班次!C28)</f>
        <v/>
      </c>
      <c r="D29" s="19">
        <f>IF($A29="","",COUNTIF(排班表!$C29:$AG29,"早"))</f>
        <v/>
      </c>
      <c r="E29" s="19">
        <f>IF($A29="","",COUNTIF(排班表!$C29:$AG29,"中"))</f>
        <v/>
      </c>
      <c r="F29" s="19">
        <f>IF($A29="","",COUNTIF(排班表!$C29:$AG29,"晚"))</f>
        <v/>
      </c>
      <c r="G29" s="19">
        <f>IF($A29="","",COUNTIF(排班表!$C29:$AG29,"休"))</f>
        <v/>
      </c>
      <c r="H29" s="19">
        <f>IF($A29="","",COUNTIF(排班表!$C29:$AG29,"年假"))</f>
        <v/>
      </c>
      <c r="I29" s="19">
        <f>IF($A29="","",D29+E29+F29)</f>
        <v/>
      </c>
      <c r="J29" s="19">
        <f>IF($A29="","",(D29+E29+F29)*参数设置!$C$10)</f>
        <v/>
      </c>
    </row>
    <row r="30" ht="21" customHeight="1">
      <c r="A30" s="20">
        <f>IF(员工与班次!A29="","",员工与班次!A29)</f>
        <v/>
      </c>
      <c r="B30" s="20">
        <f>IF(员工与班次!A29="","",员工与班次!B29)</f>
        <v/>
      </c>
      <c r="C30" s="20">
        <f>IF(员工与班次!A29="","",员工与班次!C29)</f>
        <v/>
      </c>
      <c r="D30" s="20">
        <f>IF($A30="","",COUNTIF(排班表!$C30:$AG30,"早"))</f>
        <v/>
      </c>
      <c r="E30" s="20">
        <f>IF($A30="","",COUNTIF(排班表!$C30:$AG30,"中"))</f>
        <v/>
      </c>
      <c r="F30" s="20">
        <f>IF($A30="","",COUNTIF(排班表!$C30:$AG30,"晚"))</f>
        <v/>
      </c>
      <c r="G30" s="20">
        <f>IF($A30="","",COUNTIF(排班表!$C30:$AG30,"休"))</f>
        <v/>
      </c>
      <c r="H30" s="20">
        <f>IF($A30="","",COUNTIF(排班表!$C30:$AG30,"年假"))</f>
        <v/>
      </c>
      <c r="I30" s="20">
        <f>IF($A30="","",D30+E30+F30)</f>
        <v/>
      </c>
      <c r="J30" s="20">
        <f>IF($A30="","",(D30+E30+F30)*参数设置!$C$10)</f>
        <v/>
      </c>
    </row>
    <row r="31" ht="21" customHeight="1">
      <c r="A31" s="19">
        <f>IF(员工与班次!A30="","",员工与班次!A30)</f>
        <v/>
      </c>
      <c r="B31" s="19">
        <f>IF(员工与班次!A30="","",员工与班次!B30)</f>
        <v/>
      </c>
      <c r="C31" s="19">
        <f>IF(员工与班次!A30="","",员工与班次!C30)</f>
        <v/>
      </c>
      <c r="D31" s="19">
        <f>IF($A31="","",COUNTIF(排班表!$C31:$AG31,"早"))</f>
        <v/>
      </c>
      <c r="E31" s="19">
        <f>IF($A31="","",COUNTIF(排班表!$C31:$AG31,"中"))</f>
        <v/>
      </c>
      <c r="F31" s="19">
        <f>IF($A31="","",COUNTIF(排班表!$C31:$AG31,"晚"))</f>
        <v/>
      </c>
      <c r="G31" s="19">
        <f>IF($A31="","",COUNTIF(排班表!$C31:$AG31,"休"))</f>
        <v/>
      </c>
      <c r="H31" s="19">
        <f>IF($A31="","",COUNTIF(排班表!$C31:$AG31,"年假"))</f>
        <v/>
      </c>
      <c r="I31" s="19">
        <f>IF($A31="","",D31+E31+F31)</f>
        <v/>
      </c>
      <c r="J31" s="19">
        <f>IF($A31="","",(D31+E31+F31)*参数设置!$C$10)</f>
        <v/>
      </c>
    </row>
    <row r="32" ht="21" customHeight="1">
      <c r="A32" s="20">
        <f>IF(员工与班次!A31="","",员工与班次!A31)</f>
        <v/>
      </c>
      <c r="B32" s="20">
        <f>IF(员工与班次!A31="","",员工与班次!B31)</f>
        <v/>
      </c>
      <c r="C32" s="20">
        <f>IF(员工与班次!A31="","",员工与班次!C31)</f>
        <v/>
      </c>
      <c r="D32" s="20">
        <f>IF($A32="","",COUNTIF(排班表!$C32:$AG32,"早"))</f>
        <v/>
      </c>
      <c r="E32" s="20">
        <f>IF($A32="","",COUNTIF(排班表!$C32:$AG32,"中"))</f>
        <v/>
      </c>
      <c r="F32" s="20">
        <f>IF($A32="","",COUNTIF(排班表!$C32:$AG32,"晚"))</f>
        <v/>
      </c>
      <c r="G32" s="20">
        <f>IF($A32="","",COUNTIF(排班表!$C32:$AG32,"休"))</f>
        <v/>
      </c>
      <c r="H32" s="20">
        <f>IF($A32="","",COUNTIF(排班表!$C32:$AG32,"年假"))</f>
        <v/>
      </c>
      <c r="I32" s="20">
        <f>IF($A32="","",D32+E32+F32)</f>
        <v/>
      </c>
      <c r="J32" s="20">
        <f>IF($A32="","",(D32+E32+F32)*参数设置!$C$10)</f>
        <v/>
      </c>
    </row>
    <row r="33">
      <c r="A33" s="25" t="inlineStr">
        <is>
          <t>合计</t>
        </is>
      </c>
      <c r="B33" s="25" t="n"/>
      <c r="C33" s="25" t="n"/>
      <c r="D33" s="25">
        <f>SUM(D3:D32)</f>
        <v/>
      </c>
      <c r="E33" s="25">
        <f>SUM(E3:E32)</f>
        <v/>
      </c>
      <c r="F33" s="25">
        <f>SUM(F3:F32)</f>
        <v/>
      </c>
      <c r="G33" s="25">
        <f>SUM(G3:G32)</f>
        <v/>
      </c>
      <c r="H33" s="25">
        <f>SUM(H3:H32)</f>
        <v/>
      </c>
      <c r="I33" s="25">
        <f>SUM(I3:I32)</f>
        <v/>
      </c>
      <c r="J33" s="25">
        <f>SUM(J3:J32)</f>
        <v/>
      </c>
    </row>
    <row r="35">
      <c r="A35" s="26" t="inlineStr">
        <is>
          <t>说明：数据全部按「排班表」自动统计，不要在统计页手工改数字。本月总工时 =（早班+中班+晚班）×「参数设置」里的每天标准工时。</t>
        </is>
      </c>
    </row>
  </sheetData>
  <mergeCells count="2">
    <mergeCell ref="A35:J35"/>
    <mergeCell ref="A33:C33"/>
  </mergeCells>
  <printOptions horizontalCentered="1"/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</cols>
  <sheetData>
    <row r="1" ht="32" customHeight="1">
      <c r="A1" s="24" t="inlineStr">
        <is>
          <t>日期</t>
        </is>
      </c>
      <c r="B1" s="24" t="inlineStr">
        <is>
          <t>早班人数</t>
        </is>
      </c>
      <c r="C1" s="24" t="inlineStr">
        <is>
          <t>中班人数</t>
        </is>
      </c>
      <c r="D1" s="24" t="inlineStr">
        <is>
          <t>晚班人数</t>
        </is>
      </c>
      <c r="E1" s="24" t="inlineStr">
        <is>
          <t>在岗合计</t>
        </is>
      </c>
      <c r="F1" s="24" t="inlineStr">
        <is>
          <t>应需人数</t>
        </is>
      </c>
      <c r="G1" s="24" t="inlineStr">
        <is>
          <t>状态</t>
        </is>
      </c>
    </row>
    <row r="2" ht="20" customHeight="1">
      <c r="A2" s="19" t="n">
        <v>1</v>
      </c>
      <c r="B2" s="19">
        <f>IF($A2&gt;参数设置!$C$6,"",COUNTIF(排班表!$C$3:$C$32,"早"))</f>
        <v/>
      </c>
      <c r="C2" s="19">
        <f>IF($A2&gt;参数设置!$C$6,"",COUNTIF(排班表!$C$3:$C$32,"中"))</f>
        <v/>
      </c>
      <c r="D2" s="19">
        <f>IF($A2&gt;参数设置!$C$6,"",COUNTIF(排班表!$C$3:$C$32,"晚"))</f>
        <v/>
      </c>
      <c r="E2" s="19">
        <f>IF($A2&gt;参数设置!$C$6,"",N(B2)+N(C2)+N(D2))</f>
        <v/>
      </c>
      <c r="F2" s="19">
        <f>IF($A2&gt;参数设置!$C$6,"",参数设置!$C$11+参数设置!$C$12+参数设置!$C$13)</f>
        <v/>
      </c>
      <c r="G2" s="19">
        <f>IF($A2&gt;参数设置!$C$6,"",IF(E2&lt;F2,"人手不足","正常"))</f>
        <v/>
      </c>
    </row>
    <row r="3" ht="20" customHeight="1">
      <c r="A3" s="20" t="n">
        <v>2</v>
      </c>
      <c r="B3" s="20">
        <f>IF($A3&gt;参数设置!$C$6,"",COUNTIF(排班表!$D$3:$D$32,"早"))</f>
        <v/>
      </c>
      <c r="C3" s="20">
        <f>IF($A3&gt;参数设置!$C$6,"",COUNTIF(排班表!$D$3:$D$32,"中"))</f>
        <v/>
      </c>
      <c r="D3" s="20">
        <f>IF($A3&gt;参数设置!$C$6,"",COUNTIF(排班表!$D$3:$D$32,"晚"))</f>
        <v/>
      </c>
      <c r="E3" s="20">
        <f>IF($A3&gt;参数设置!$C$6,"",N(B3)+N(C3)+N(D3))</f>
        <v/>
      </c>
      <c r="F3" s="20">
        <f>IF($A3&gt;参数设置!$C$6,"",参数设置!$C$11+参数设置!$C$12+参数设置!$C$13)</f>
        <v/>
      </c>
      <c r="G3" s="20">
        <f>IF($A3&gt;参数设置!$C$6,"",IF(E3&lt;F3,"人手不足","正常"))</f>
        <v/>
      </c>
    </row>
    <row r="4" ht="20" customHeight="1">
      <c r="A4" s="19" t="n">
        <v>3</v>
      </c>
      <c r="B4" s="19">
        <f>IF($A4&gt;参数设置!$C$6,"",COUNTIF(排班表!$E$3:$E$32,"早"))</f>
        <v/>
      </c>
      <c r="C4" s="19">
        <f>IF($A4&gt;参数设置!$C$6,"",COUNTIF(排班表!$E$3:$E$32,"中"))</f>
        <v/>
      </c>
      <c r="D4" s="19">
        <f>IF($A4&gt;参数设置!$C$6,"",COUNTIF(排班表!$E$3:$E$32,"晚"))</f>
        <v/>
      </c>
      <c r="E4" s="19">
        <f>IF($A4&gt;参数设置!$C$6,"",N(B4)+N(C4)+N(D4))</f>
        <v/>
      </c>
      <c r="F4" s="19">
        <f>IF($A4&gt;参数设置!$C$6,"",参数设置!$C$11+参数设置!$C$12+参数设置!$C$13)</f>
        <v/>
      </c>
      <c r="G4" s="19">
        <f>IF($A4&gt;参数设置!$C$6,"",IF(E4&lt;F4,"人手不足","正常"))</f>
        <v/>
      </c>
    </row>
    <row r="5" ht="20" customHeight="1">
      <c r="A5" s="20" t="n">
        <v>4</v>
      </c>
      <c r="B5" s="20">
        <f>IF($A5&gt;参数设置!$C$6,"",COUNTIF(排班表!$F$3:$F$32,"早"))</f>
        <v/>
      </c>
      <c r="C5" s="20">
        <f>IF($A5&gt;参数设置!$C$6,"",COUNTIF(排班表!$F$3:$F$32,"中"))</f>
        <v/>
      </c>
      <c r="D5" s="20">
        <f>IF($A5&gt;参数设置!$C$6,"",COUNTIF(排班表!$F$3:$F$32,"晚"))</f>
        <v/>
      </c>
      <c r="E5" s="20">
        <f>IF($A5&gt;参数设置!$C$6,"",N(B5)+N(C5)+N(D5))</f>
        <v/>
      </c>
      <c r="F5" s="20">
        <f>IF($A5&gt;参数设置!$C$6,"",参数设置!$C$11+参数设置!$C$12+参数设置!$C$13)</f>
        <v/>
      </c>
      <c r="G5" s="20">
        <f>IF($A5&gt;参数设置!$C$6,"",IF(E5&lt;F5,"人手不足","正常"))</f>
        <v/>
      </c>
    </row>
    <row r="6" ht="20" customHeight="1">
      <c r="A6" s="19" t="n">
        <v>5</v>
      </c>
      <c r="B6" s="19">
        <f>IF($A6&gt;参数设置!$C$6,"",COUNTIF(排班表!$G$3:$G$32,"早"))</f>
        <v/>
      </c>
      <c r="C6" s="19">
        <f>IF($A6&gt;参数设置!$C$6,"",COUNTIF(排班表!$G$3:$G$32,"中"))</f>
        <v/>
      </c>
      <c r="D6" s="19">
        <f>IF($A6&gt;参数设置!$C$6,"",COUNTIF(排班表!$G$3:$G$32,"晚"))</f>
        <v/>
      </c>
      <c r="E6" s="19">
        <f>IF($A6&gt;参数设置!$C$6,"",N(B6)+N(C6)+N(D6))</f>
        <v/>
      </c>
      <c r="F6" s="19">
        <f>IF($A6&gt;参数设置!$C$6,"",参数设置!$C$11+参数设置!$C$12+参数设置!$C$13)</f>
        <v/>
      </c>
      <c r="G6" s="19">
        <f>IF($A6&gt;参数设置!$C$6,"",IF(E6&lt;F6,"人手不足","正常"))</f>
        <v/>
      </c>
    </row>
    <row r="7" ht="20" customHeight="1">
      <c r="A7" s="20" t="n">
        <v>6</v>
      </c>
      <c r="B7" s="20">
        <f>IF($A7&gt;参数设置!$C$6,"",COUNTIF(排班表!$H$3:$H$32,"早"))</f>
        <v/>
      </c>
      <c r="C7" s="20">
        <f>IF($A7&gt;参数设置!$C$6,"",COUNTIF(排班表!$H$3:$H$32,"中"))</f>
        <v/>
      </c>
      <c r="D7" s="20">
        <f>IF($A7&gt;参数设置!$C$6,"",COUNTIF(排班表!$H$3:$H$32,"晚"))</f>
        <v/>
      </c>
      <c r="E7" s="20">
        <f>IF($A7&gt;参数设置!$C$6,"",N(B7)+N(C7)+N(D7))</f>
        <v/>
      </c>
      <c r="F7" s="20">
        <f>IF($A7&gt;参数设置!$C$6,"",参数设置!$C$11+参数设置!$C$12+参数设置!$C$13)</f>
        <v/>
      </c>
      <c r="G7" s="20">
        <f>IF($A7&gt;参数设置!$C$6,"",IF(E7&lt;F7,"人手不足","正常"))</f>
        <v/>
      </c>
    </row>
    <row r="8" ht="20" customHeight="1">
      <c r="A8" s="19" t="n">
        <v>7</v>
      </c>
      <c r="B8" s="19">
        <f>IF($A8&gt;参数设置!$C$6,"",COUNTIF(排班表!$I$3:$I$32,"早"))</f>
        <v/>
      </c>
      <c r="C8" s="19">
        <f>IF($A8&gt;参数设置!$C$6,"",COUNTIF(排班表!$I$3:$I$32,"中"))</f>
        <v/>
      </c>
      <c r="D8" s="19">
        <f>IF($A8&gt;参数设置!$C$6,"",COUNTIF(排班表!$I$3:$I$32,"晚"))</f>
        <v/>
      </c>
      <c r="E8" s="19">
        <f>IF($A8&gt;参数设置!$C$6,"",N(B8)+N(C8)+N(D8))</f>
        <v/>
      </c>
      <c r="F8" s="19">
        <f>IF($A8&gt;参数设置!$C$6,"",参数设置!$C$11+参数设置!$C$12+参数设置!$C$13)</f>
        <v/>
      </c>
      <c r="G8" s="19">
        <f>IF($A8&gt;参数设置!$C$6,"",IF(E8&lt;F8,"人手不足","正常"))</f>
        <v/>
      </c>
    </row>
    <row r="9" ht="20" customHeight="1">
      <c r="A9" s="20" t="n">
        <v>8</v>
      </c>
      <c r="B9" s="20">
        <f>IF($A9&gt;参数设置!$C$6,"",COUNTIF(排班表!$J$3:$J$32,"早"))</f>
        <v/>
      </c>
      <c r="C9" s="20">
        <f>IF($A9&gt;参数设置!$C$6,"",COUNTIF(排班表!$J$3:$J$32,"中"))</f>
        <v/>
      </c>
      <c r="D9" s="20">
        <f>IF($A9&gt;参数设置!$C$6,"",COUNTIF(排班表!$J$3:$J$32,"晚"))</f>
        <v/>
      </c>
      <c r="E9" s="20">
        <f>IF($A9&gt;参数设置!$C$6,"",N(B9)+N(C9)+N(D9))</f>
        <v/>
      </c>
      <c r="F9" s="20">
        <f>IF($A9&gt;参数设置!$C$6,"",参数设置!$C$11+参数设置!$C$12+参数设置!$C$13)</f>
        <v/>
      </c>
      <c r="G9" s="20">
        <f>IF($A9&gt;参数设置!$C$6,"",IF(E9&lt;F9,"人手不足","正常"))</f>
        <v/>
      </c>
    </row>
    <row r="10" ht="20" customHeight="1">
      <c r="A10" s="19" t="n">
        <v>9</v>
      </c>
      <c r="B10" s="19">
        <f>IF($A10&gt;参数设置!$C$6,"",COUNTIF(排班表!$K$3:$K$32,"早"))</f>
        <v/>
      </c>
      <c r="C10" s="19">
        <f>IF($A10&gt;参数设置!$C$6,"",COUNTIF(排班表!$K$3:$K$32,"中"))</f>
        <v/>
      </c>
      <c r="D10" s="19">
        <f>IF($A10&gt;参数设置!$C$6,"",COUNTIF(排班表!$K$3:$K$32,"晚"))</f>
        <v/>
      </c>
      <c r="E10" s="19">
        <f>IF($A10&gt;参数设置!$C$6,"",N(B10)+N(C10)+N(D10))</f>
        <v/>
      </c>
      <c r="F10" s="19">
        <f>IF($A10&gt;参数设置!$C$6,"",参数设置!$C$11+参数设置!$C$12+参数设置!$C$13)</f>
        <v/>
      </c>
      <c r="G10" s="19">
        <f>IF($A10&gt;参数设置!$C$6,"",IF(E10&lt;F10,"人手不足","正常"))</f>
        <v/>
      </c>
    </row>
    <row r="11" ht="20" customHeight="1">
      <c r="A11" s="20" t="n">
        <v>10</v>
      </c>
      <c r="B11" s="20">
        <f>IF($A11&gt;参数设置!$C$6,"",COUNTIF(排班表!$L$3:$L$32,"早"))</f>
        <v/>
      </c>
      <c r="C11" s="20">
        <f>IF($A11&gt;参数设置!$C$6,"",COUNTIF(排班表!$L$3:$L$32,"中"))</f>
        <v/>
      </c>
      <c r="D11" s="20">
        <f>IF($A11&gt;参数设置!$C$6,"",COUNTIF(排班表!$L$3:$L$32,"晚"))</f>
        <v/>
      </c>
      <c r="E11" s="20">
        <f>IF($A11&gt;参数设置!$C$6,"",N(B11)+N(C11)+N(D11))</f>
        <v/>
      </c>
      <c r="F11" s="20">
        <f>IF($A11&gt;参数设置!$C$6,"",参数设置!$C$11+参数设置!$C$12+参数设置!$C$13)</f>
        <v/>
      </c>
      <c r="G11" s="20">
        <f>IF($A11&gt;参数设置!$C$6,"",IF(E11&lt;F11,"人手不足","正常"))</f>
        <v/>
      </c>
    </row>
    <row r="12" ht="20" customHeight="1">
      <c r="A12" s="19" t="n">
        <v>11</v>
      </c>
      <c r="B12" s="19">
        <f>IF($A12&gt;参数设置!$C$6,"",COUNTIF(排班表!$M$3:$M$32,"早"))</f>
        <v/>
      </c>
      <c r="C12" s="19">
        <f>IF($A12&gt;参数设置!$C$6,"",COUNTIF(排班表!$M$3:$M$32,"中"))</f>
        <v/>
      </c>
      <c r="D12" s="19">
        <f>IF($A12&gt;参数设置!$C$6,"",COUNTIF(排班表!$M$3:$M$32,"晚"))</f>
        <v/>
      </c>
      <c r="E12" s="19">
        <f>IF($A12&gt;参数设置!$C$6,"",N(B12)+N(C12)+N(D12))</f>
        <v/>
      </c>
      <c r="F12" s="19">
        <f>IF($A12&gt;参数设置!$C$6,"",参数设置!$C$11+参数设置!$C$12+参数设置!$C$13)</f>
        <v/>
      </c>
      <c r="G12" s="19">
        <f>IF($A12&gt;参数设置!$C$6,"",IF(E12&lt;F12,"人手不足","正常"))</f>
        <v/>
      </c>
    </row>
    <row r="13" ht="20" customHeight="1">
      <c r="A13" s="20" t="n">
        <v>12</v>
      </c>
      <c r="B13" s="20">
        <f>IF($A13&gt;参数设置!$C$6,"",COUNTIF(排班表!$N$3:$N$32,"早"))</f>
        <v/>
      </c>
      <c r="C13" s="20">
        <f>IF($A13&gt;参数设置!$C$6,"",COUNTIF(排班表!$N$3:$N$32,"中"))</f>
        <v/>
      </c>
      <c r="D13" s="20">
        <f>IF($A13&gt;参数设置!$C$6,"",COUNTIF(排班表!$N$3:$N$32,"晚"))</f>
        <v/>
      </c>
      <c r="E13" s="20">
        <f>IF($A13&gt;参数设置!$C$6,"",N(B13)+N(C13)+N(D13))</f>
        <v/>
      </c>
      <c r="F13" s="20">
        <f>IF($A13&gt;参数设置!$C$6,"",参数设置!$C$11+参数设置!$C$12+参数设置!$C$13)</f>
        <v/>
      </c>
      <c r="G13" s="20">
        <f>IF($A13&gt;参数设置!$C$6,"",IF(E13&lt;F13,"人手不足","正常"))</f>
        <v/>
      </c>
    </row>
    <row r="14" ht="20" customHeight="1">
      <c r="A14" s="19" t="n">
        <v>13</v>
      </c>
      <c r="B14" s="19">
        <f>IF($A14&gt;参数设置!$C$6,"",COUNTIF(排班表!$O$3:$O$32,"早"))</f>
        <v/>
      </c>
      <c r="C14" s="19">
        <f>IF($A14&gt;参数设置!$C$6,"",COUNTIF(排班表!$O$3:$O$32,"中"))</f>
        <v/>
      </c>
      <c r="D14" s="19">
        <f>IF($A14&gt;参数设置!$C$6,"",COUNTIF(排班表!$O$3:$O$32,"晚"))</f>
        <v/>
      </c>
      <c r="E14" s="19">
        <f>IF($A14&gt;参数设置!$C$6,"",N(B14)+N(C14)+N(D14))</f>
        <v/>
      </c>
      <c r="F14" s="19">
        <f>IF($A14&gt;参数设置!$C$6,"",参数设置!$C$11+参数设置!$C$12+参数设置!$C$13)</f>
        <v/>
      </c>
      <c r="G14" s="19">
        <f>IF($A14&gt;参数设置!$C$6,"",IF(E14&lt;F14,"人手不足","正常"))</f>
        <v/>
      </c>
    </row>
    <row r="15" ht="20" customHeight="1">
      <c r="A15" s="20" t="n">
        <v>14</v>
      </c>
      <c r="B15" s="20">
        <f>IF($A15&gt;参数设置!$C$6,"",COUNTIF(排班表!$P$3:$P$32,"早"))</f>
        <v/>
      </c>
      <c r="C15" s="20">
        <f>IF($A15&gt;参数设置!$C$6,"",COUNTIF(排班表!$P$3:$P$32,"中"))</f>
        <v/>
      </c>
      <c r="D15" s="20">
        <f>IF($A15&gt;参数设置!$C$6,"",COUNTIF(排班表!$P$3:$P$32,"晚"))</f>
        <v/>
      </c>
      <c r="E15" s="20">
        <f>IF($A15&gt;参数设置!$C$6,"",N(B15)+N(C15)+N(D15))</f>
        <v/>
      </c>
      <c r="F15" s="20">
        <f>IF($A15&gt;参数设置!$C$6,"",参数设置!$C$11+参数设置!$C$12+参数设置!$C$13)</f>
        <v/>
      </c>
      <c r="G15" s="20">
        <f>IF($A15&gt;参数设置!$C$6,"",IF(E15&lt;F15,"人手不足","正常"))</f>
        <v/>
      </c>
    </row>
    <row r="16" ht="20" customHeight="1">
      <c r="A16" s="19" t="n">
        <v>15</v>
      </c>
      <c r="B16" s="19">
        <f>IF($A16&gt;参数设置!$C$6,"",COUNTIF(排班表!$Q$3:$Q$32,"早"))</f>
        <v/>
      </c>
      <c r="C16" s="19">
        <f>IF($A16&gt;参数设置!$C$6,"",COUNTIF(排班表!$Q$3:$Q$32,"中"))</f>
        <v/>
      </c>
      <c r="D16" s="19">
        <f>IF($A16&gt;参数设置!$C$6,"",COUNTIF(排班表!$Q$3:$Q$32,"晚"))</f>
        <v/>
      </c>
      <c r="E16" s="19">
        <f>IF($A16&gt;参数设置!$C$6,"",N(B16)+N(C16)+N(D16))</f>
        <v/>
      </c>
      <c r="F16" s="19">
        <f>IF($A16&gt;参数设置!$C$6,"",参数设置!$C$11+参数设置!$C$12+参数设置!$C$13)</f>
        <v/>
      </c>
      <c r="G16" s="19">
        <f>IF($A16&gt;参数设置!$C$6,"",IF(E16&lt;F16,"人手不足","正常"))</f>
        <v/>
      </c>
    </row>
    <row r="17" ht="20" customHeight="1">
      <c r="A17" s="20" t="n">
        <v>16</v>
      </c>
      <c r="B17" s="20">
        <f>IF($A17&gt;参数设置!$C$6,"",COUNTIF(排班表!$R$3:$R$32,"早"))</f>
        <v/>
      </c>
      <c r="C17" s="20">
        <f>IF($A17&gt;参数设置!$C$6,"",COUNTIF(排班表!$R$3:$R$32,"中"))</f>
        <v/>
      </c>
      <c r="D17" s="20">
        <f>IF($A17&gt;参数设置!$C$6,"",COUNTIF(排班表!$R$3:$R$32,"晚"))</f>
        <v/>
      </c>
      <c r="E17" s="20">
        <f>IF($A17&gt;参数设置!$C$6,"",N(B17)+N(C17)+N(D17))</f>
        <v/>
      </c>
      <c r="F17" s="20">
        <f>IF($A17&gt;参数设置!$C$6,"",参数设置!$C$11+参数设置!$C$12+参数设置!$C$13)</f>
        <v/>
      </c>
      <c r="G17" s="20">
        <f>IF($A17&gt;参数设置!$C$6,"",IF(E17&lt;F17,"人手不足","正常"))</f>
        <v/>
      </c>
    </row>
    <row r="18" ht="20" customHeight="1">
      <c r="A18" s="19" t="n">
        <v>17</v>
      </c>
      <c r="B18" s="19">
        <f>IF($A18&gt;参数设置!$C$6,"",COUNTIF(排班表!$S$3:$S$32,"早"))</f>
        <v/>
      </c>
      <c r="C18" s="19">
        <f>IF($A18&gt;参数设置!$C$6,"",COUNTIF(排班表!$S$3:$S$32,"中"))</f>
        <v/>
      </c>
      <c r="D18" s="19">
        <f>IF($A18&gt;参数设置!$C$6,"",COUNTIF(排班表!$S$3:$S$32,"晚"))</f>
        <v/>
      </c>
      <c r="E18" s="19">
        <f>IF($A18&gt;参数设置!$C$6,"",N(B18)+N(C18)+N(D18))</f>
        <v/>
      </c>
      <c r="F18" s="19">
        <f>IF($A18&gt;参数设置!$C$6,"",参数设置!$C$11+参数设置!$C$12+参数设置!$C$13)</f>
        <v/>
      </c>
      <c r="G18" s="19">
        <f>IF($A18&gt;参数设置!$C$6,"",IF(E18&lt;F18,"人手不足","正常"))</f>
        <v/>
      </c>
    </row>
    <row r="19" ht="20" customHeight="1">
      <c r="A19" s="20" t="n">
        <v>18</v>
      </c>
      <c r="B19" s="20">
        <f>IF($A19&gt;参数设置!$C$6,"",COUNTIF(排班表!$T$3:$T$32,"早"))</f>
        <v/>
      </c>
      <c r="C19" s="20">
        <f>IF($A19&gt;参数设置!$C$6,"",COUNTIF(排班表!$T$3:$T$32,"中"))</f>
        <v/>
      </c>
      <c r="D19" s="20">
        <f>IF($A19&gt;参数设置!$C$6,"",COUNTIF(排班表!$T$3:$T$32,"晚"))</f>
        <v/>
      </c>
      <c r="E19" s="20">
        <f>IF($A19&gt;参数设置!$C$6,"",N(B19)+N(C19)+N(D19))</f>
        <v/>
      </c>
      <c r="F19" s="20">
        <f>IF($A19&gt;参数设置!$C$6,"",参数设置!$C$11+参数设置!$C$12+参数设置!$C$13)</f>
        <v/>
      </c>
      <c r="G19" s="20">
        <f>IF($A19&gt;参数设置!$C$6,"",IF(E19&lt;F19,"人手不足","正常"))</f>
        <v/>
      </c>
    </row>
    <row r="20" ht="20" customHeight="1">
      <c r="A20" s="19" t="n">
        <v>19</v>
      </c>
      <c r="B20" s="19">
        <f>IF($A20&gt;参数设置!$C$6,"",COUNTIF(排班表!$U$3:$U$32,"早"))</f>
        <v/>
      </c>
      <c r="C20" s="19">
        <f>IF($A20&gt;参数设置!$C$6,"",COUNTIF(排班表!$U$3:$U$32,"中"))</f>
        <v/>
      </c>
      <c r="D20" s="19">
        <f>IF($A20&gt;参数设置!$C$6,"",COUNTIF(排班表!$U$3:$U$32,"晚"))</f>
        <v/>
      </c>
      <c r="E20" s="19">
        <f>IF($A20&gt;参数设置!$C$6,"",N(B20)+N(C20)+N(D20))</f>
        <v/>
      </c>
      <c r="F20" s="19">
        <f>IF($A20&gt;参数设置!$C$6,"",参数设置!$C$11+参数设置!$C$12+参数设置!$C$13)</f>
        <v/>
      </c>
      <c r="G20" s="19">
        <f>IF($A20&gt;参数设置!$C$6,"",IF(E20&lt;F20,"人手不足","正常"))</f>
        <v/>
      </c>
    </row>
    <row r="21" ht="20" customHeight="1">
      <c r="A21" s="20" t="n">
        <v>20</v>
      </c>
      <c r="B21" s="20">
        <f>IF($A21&gt;参数设置!$C$6,"",COUNTIF(排班表!$V$3:$V$32,"早"))</f>
        <v/>
      </c>
      <c r="C21" s="20">
        <f>IF($A21&gt;参数设置!$C$6,"",COUNTIF(排班表!$V$3:$V$32,"中"))</f>
        <v/>
      </c>
      <c r="D21" s="20">
        <f>IF($A21&gt;参数设置!$C$6,"",COUNTIF(排班表!$V$3:$V$32,"晚"))</f>
        <v/>
      </c>
      <c r="E21" s="20">
        <f>IF($A21&gt;参数设置!$C$6,"",N(B21)+N(C21)+N(D21))</f>
        <v/>
      </c>
      <c r="F21" s="20">
        <f>IF($A21&gt;参数设置!$C$6,"",参数设置!$C$11+参数设置!$C$12+参数设置!$C$13)</f>
        <v/>
      </c>
      <c r="G21" s="20">
        <f>IF($A21&gt;参数设置!$C$6,"",IF(E21&lt;F21,"人手不足","正常"))</f>
        <v/>
      </c>
    </row>
    <row r="22" ht="20" customHeight="1">
      <c r="A22" s="19" t="n">
        <v>21</v>
      </c>
      <c r="B22" s="19">
        <f>IF($A22&gt;参数设置!$C$6,"",COUNTIF(排班表!$W$3:$W$32,"早"))</f>
        <v/>
      </c>
      <c r="C22" s="19">
        <f>IF($A22&gt;参数设置!$C$6,"",COUNTIF(排班表!$W$3:$W$32,"中"))</f>
        <v/>
      </c>
      <c r="D22" s="19">
        <f>IF($A22&gt;参数设置!$C$6,"",COUNTIF(排班表!$W$3:$W$32,"晚"))</f>
        <v/>
      </c>
      <c r="E22" s="19">
        <f>IF($A22&gt;参数设置!$C$6,"",N(B22)+N(C22)+N(D22))</f>
        <v/>
      </c>
      <c r="F22" s="19">
        <f>IF($A22&gt;参数设置!$C$6,"",参数设置!$C$11+参数设置!$C$12+参数设置!$C$13)</f>
        <v/>
      </c>
      <c r="G22" s="19">
        <f>IF($A22&gt;参数设置!$C$6,"",IF(E22&lt;F22,"人手不足","正常"))</f>
        <v/>
      </c>
    </row>
    <row r="23" ht="20" customHeight="1">
      <c r="A23" s="20" t="n">
        <v>22</v>
      </c>
      <c r="B23" s="20">
        <f>IF($A23&gt;参数设置!$C$6,"",COUNTIF(排班表!$X$3:$X$32,"早"))</f>
        <v/>
      </c>
      <c r="C23" s="20">
        <f>IF($A23&gt;参数设置!$C$6,"",COUNTIF(排班表!$X$3:$X$32,"中"))</f>
        <v/>
      </c>
      <c r="D23" s="20">
        <f>IF($A23&gt;参数设置!$C$6,"",COUNTIF(排班表!$X$3:$X$32,"晚"))</f>
        <v/>
      </c>
      <c r="E23" s="20">
        <f>IF($A23&gt;参数设置!$C$6,"",N(B23)+N(C23)+N(D23))</f>
        <v/>
      </c>
      <c r="F23" s="20">
        <f>IF($A23&gt;参数设置!$C$6,"",参数设置!$C$11+参数设置!$C$12+参数设置!$C$13)</f>
        <v/>
      </c>
      <c r="G23" s="20">
        <f>IF($A23&gt;参数设置!$C$6,"",IF(E23&lt;F23,"人手不足","正常"))</f>
        <v/>
      </c>
    </row>
    <row r="24" ht="20" customHeight="1">
      <c r="A24" s="19" t="n">
        <v>23</v>
      </c>
      <c r="B24" s="19">
        <f>IF($A24&gt;参数设置!$C$6,"",COUNTIF(排班表!$Y$3:$Y$32,"早"))</f>
        <v/>
      </c>
      <c r="C24" s="19">
        <f>IF($A24&gt;参数设置!$C$6,"",COUNTIF(排班表!$Y$3:$Y$32,"中"))</f>
        <v/>
      </c>
      <c r="D24" s="19">
        <f>IF($A24&gt;参数设置!$C$6,"",COUNTIF(排班表!$Y$3:$Y$32,"晚"))</f>
        <v/>
      </c>
      <c r="E24" s="19">
        <f>IF($A24&gt;参数设置!$C$6,"",N(B24)+N(C24)+N(D24))</f>
        <v/>
      </c>
      <c r="F24" s="19">
        <f>IF($A24&gt;参数设置!$C$6,"",参数设置!$C$11+参数设置!$C$12+参数设置!$C$13)</f>
        <v/>
      </c>
      <c r="G24" s="19">
        <f>IF($A24&gt;参数设置!$C$6,"",IF(E24&lt;F24,"人手不足","正常"))</f>
        <v/>
      </c>
    </row>
    <row r="25" ht="20" customHeight="1">
      <c r="A25" s="20" t="n">
        <v>24</v>
      </c>
      <c r="B25" s="20">
        <f>IF($A25&gt;参数设置!$C$6,"",COUNTIF(排班表!$Z$3:$Z$32,"早"))</f>
        <v/>
      </c>
      <c r="C25" s="20">
        <f>IF($A25&gt;参数设置!$C$6,"",COUNTIF(排班表!$Z$3:$Z$32,"中"))</f>
        <v/>
      </c>
      <c r="D25" s="20">
        <f>IF($A25&gt;参数设置!$C$6,"",COUNTIF(排班表!$Z$3:$Z$32,"晚"))</f>
        <v/>
      </c>
      <c r="E25" s="20">
        <f>IF($A25&gt;参数设置!$C$6,"",N(B25)+N(C25)+N(D25))</f>
        <v/>
      </c>
      <c r="F25" s="20">
        <f>IF($A25&gt;参数设置!$C$6,"",参数设置!$C$11+参数设置!$C$12+参数设置!$C$13)</f>
        <v/>
      </c>
      <c r="G25" s="20">
        <f>IF($A25&gt;参数设置!$C$6,"",IF(E25&lt;F25,"人手不足","正常"))</f>
        <v/>
      </c>
    </row>
    <row r="26" ht="20" customHeight="1">
      <c r="A26" s="19" t="n">
        <v>25</v>
      </c>
      <c r="B26" s="19">
        <f>IF($A26&gt;参数设置!$C$6,"",COUNTIF(排班表!$AA$3:$AA$32,"早"))</f>
        <v/>
      </c>
      <c r="C26" s="19">
        <f>IF($A26&gt;参数设置!$C$6,"",COUNTIF(排班表!$AA$3:$AA$32,"中"))</f>
        <v/>
      </c>
      <c r="D26" s="19">
        <f>IF($A26&gt;参数设置!$C$6,"",COUNTIF(排班表!$AA$3:$AA$32,"晚"))</f>
        <v/>
      </c>
      <c r="E26" s="19">
        <f>IF($A26&gt;参数设置!$C$6,"",N(B26)+N(C26)+N(D26))</f>
        <v/>
      </c>
      <c r="F26" s="19">
        <f>IF($A26&gt;参数设置!$C$6,"",参数设置!$C$11+参数设置!$C$12+参数设置!$C$13)</f>
        <v/>
      </c>
      <c r="G26" s="19">
        <f>IF($A26&gt;参数设置!$C$6,"",IF(E26&lt;F26,"人手不足","正常"))</f>
        <v/>
      </c>
    </row>
    <row r="27" ht="20" customHeight="1">
      <c r="A27" s="20" t="n">
        <v>26</v>
      </c>
      <c r="B27" s="20">
        <f>IF($A27&gt;参数设置!$C$6,"",COUNTIF(排班表!$AB$3:$AB$32,"早"))</f>
        <v/>
      </c>
      <c r="C27" s="20">
        <f>IF($A27&gt;参数设置!$C$6,"",COUNTIF(排班表!$AB$3:$AB$32,"中"))</f>
        <v/>
      </c>
      <c r="D27" s="20">
        <f>IF($A27&gt;参数设置!$C$6,"",COUNTIF(排班表!$AB$3:$AB$32,"晚"))</f>
        <v/>
      </c>
      <c r="E27" s="20">
        <f>IF($A27&gt;参数设置!$C$6,"",N(B27)+N(C27)+N(D27))</f>
        <v/>
      </c>
      <c r="F27" s="20">
        <f>IF($A27&gt;参数设置!$C$6,"",参数设置!$C$11+参数设置!$C$12+参数设置!$C$13)</f>
        <v/>
      </c>
      <c r="G27" s="20">
        <f>IF($A27&gt;参数设置!$C$6,"",IF(E27&lt;F27,"人手不足","正常"))</f>
        <v/>
      </c>
    </row>
    <row r="28" ht="20" customHeight="1">
      <c r="A28" s="19" t="n">
        <v>27</v>
      </c>
      <c r="B28" s="19">
        <f>IF($A28&gt;参数设置!$C$6,"",COUNTIF(排班表!$AC$3:$AC$32,"早"))</f>
        <v/>
      </c>
      <c r="C28" s="19">
        <f>IF($A28&gt;参数设置!$C$6,"",COUNTIF(排班表!$AC$3:$AC$32,"中"))</f>
        <v/>
      </c>
      <c r="D28" s="19">
        <f>IF($A28&gt;参数设置!$C$6,"",COUNTIF(排班表!$AC$3:$AC$32,"晚"))</f>
        <v/>
      </c>
      <c r="E28" s="19">
        <f>IF($A28&gt;参数设置!$C$6,"",N(B28)+N(C28)+N(D28))</f>
        <v/>
      </c>
      <c r="F28" s="19">
        <f>IF($A28&gt;参数设置!$C$6,"",参数设置!$C$11+参数设置!$C$12+参数设置!$C$13)</f>
        <v/>
      </c>
      <c r="G28" s="19">
        <f>IF($A28&gt;参数设置!$C$6,"",IF(E28&lt;F28,"人手不足","正常"))</f>
        <v/>
      </c>
    </row>
    <row r="29" ht="20" customHeight="1">
      <c r="A29" s="20" t="n">
        <v>28</v>
      </c>
      <c r="B29" s="20">
        <f>IF($A29&gt;参数设置!$C$6,"",COUNTIF(排班表!$AD$3:$AD$32,"早"))</f>
        <v/>
      </c>
      <c r="C29" s="20">
        <f>IF($A29&gt;参数设置!$C$6,"",COUNTIF(排班表!$AD$3:$AD$32,"中"))</f>
        <v/>
      </c>
      <c r="D29" s="20">
        <f>IF($A29&gt;参数设置!$C$6,"",COUNTIF(排班表!$AD$3:$AD$32,"晚"))</f>
        <v/>
      </c>
      <c r="E29" s="20">
        <f>IF($A29&gt;参数设置!$C$6,"",N(B29)+N(C29)+N(D29))</f>
        <v/>
      </c>
      <c r="F29" s="20">
        <f>IF($A29&gt;参数设置!$C$6,"",参数设置!$C$11+参数设置!$C$12+参数设置!$C$13)</f>
        <v/>
      </c>
      <c r="G29" s="20">
        <f>IF($A29&gt;参数设置!$C$6,"",IF(E29&lt;F29,"人手不足","正常"))</f>
        <v/>
      </c>
    </row>
    <row r="30" ht="20" customHeight="1">
      <c r="A30" s="19" t="n">
        <v>29</v>
      </c>
      <c r="B30" s="19">
        <f>IF($A30&gt;参数设置!$C$6,"",COUNTIF(排班表!$AE$3:$AE$32,"早"))</f>
        <v/>
      </c>
      <c r="C30" s="19">
        <f>IF($A30&gt;参数设置!$C$6,"",COUNTIF(排班表!$AE$3:$AE$32,"中"))</f>
        <v/>
      </c>
      <c r="D30" s="19">
        <f>IF($A30&gt;参数设置!$C$6,"",COUNTIF(排班表!$AE$3:$AE$32,"晚"))</f>
        <v/>
      </c>
      <c r="E30" s="19">
        <f>IF($A30&gt;参数设置!$C$6,"",N(B30)+N(C30)+N(D30))</f>
        <v/>
      </c>
      <c r="F30" s="19">
        <f>IF($A30&gt;参数设置!$C$6,"",参数设置!$C$11+参数设置!$C$12+参数设置!$C$13)</f>
        <v/>
      </c>
      <c r="G30" s="19">
        <f>IF($A30&gt;参数设置!$C$6,"",IF(E30&lt;F30,"人手不足","正常"))</f>
        <v/>
      </c>
    </row>
    <row r="31" ht="20" customHeight="1">
      <c r="A31" s="20" t="n">
        <v>30</v>
      </c>
      <c r="B31" s="20">
        <f>IF($A31&gt;参数设置!$C$6,"",COUNTIF(排班表!$AF$3:$AF$32,"早"))</f>
        <v/>
      </c>
      <c r="C31" s="20">
        <f>IF($A31&gt;参数设置!$C$6,"",COUNTIF(排班表!$AF$3:$AF$32,"中"))</f>
        <v/>
      </c>
      <c r="D31" s="20">
        <f>IF($A31&gt;参数设置!$C$6,"",COUNTIF(排班表!$AF$3:$AF$32,"晚"))</f>
        <v/>
      </c>
      <c r="E31" s="20">
        <f>IF($A31&gt;参数设置!$C$6,"",N(B31)+N(C31)+N(D31))</f>
        <v/>
      </c>
      <c r="F31" s="20">
        <f>IF($A31&gt;参数设置!$C$6,"",参数设置!$C$11+参数设置!$C$12+参数设置!$C$13)</f>
        <v/>
      </c>
      <c r="G31" s="20">
        <f>IF($A31&gt;参数设置!$C$6,"",IF(E31&lt;F31,"人手不足","正常"))</f>
        <v/>
      </c>
    </row>
    <row r="32" ht="20" customHeight="1">
      <c r="A32" s="19" t="n">
        <v>31</v>
      </c>
      <c r="B32" s="19">
        <f>IF($A32&gt;参数设置!$C$6,"",COUNTIF(排班表!$AG$3:$AG$32,"早"))</f>
        <v/>
      </c>
      <c r="C32" s="19">
        <f>IF($A32&gt;参数设置!$C$6,"",COUNTIF(排班表!$AG$3:$AG$32,"中"))</f>
        <v/>
      </c>
      <c r="D32" s="19">
        <f>IF($A32&gt;参数设置!$C$6,"",COUNTIF(排班表!$AG$3:$AG$32,"晚"))</f>
        <v/>
      </c>
      <c r="E32" s="19">
        <f>IF($A32&gt;参数设置!$C$6,"",N(B32)+N(C32)+N(D32))</f>
        <v/>
      </c>
      <c r="F32" s="19">
        <f>IF($A32&gt;参数设置!$C$6,"",参数设置!$C$11+参数设置!$C$12+参数设置!$C$13)</f>
        <v/>
      </c>
      <c r="G32" s="19">
        <f>IF($A32&gt;参数设置!$C$6,"",IF(E32&lt;F32,"人手不足","正常"))</f>
        <v/>
      </c>
    </row>
    <row r="34">
      <c r="A34" s="26" t="inlineStr">
        <is>
          <t>说明：红色格 = 当天这个班人数为 0，必须补人或并班；「应需人数」= 参数设置里三个班的需求人数之和，可据此判断整体人手。</t>
        </is>
      </c>
    </row>
  </sheetData>
  <mergeCells count="1">
    <mergeCell ref="A34:G34"/>
  </mergeCells>
  <conditionalFormatting sqref="B2:D32">
    <cfRule type="expression" priority="1" dxfId="5" stopIfTrue="0">
      <formula>AND(ISNUMBER(B2),B2=0)</formula>
    </cfRule>
  </conditionalFormatting>
  <conditionalFormatting sqref="G2:G32">
    <cfRule type="expression" priority="2" dxfId="6" stopIfTrue="0">
      <formula>G2="人手不足"</formula>
    </cfRule>
  </conditionalFormatting>
  <printOptions horizontalCentered="1"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2026-10-26T15:53:27Z</dcterms:created>
  <dcterms:modified xmlns:dcterms="http://purl.org/dc/terms/" xmlns:xsi="http://www.w3.org/2001/XMLSchema-instance" xsi:type="dcterms:W3CDTF">2026-10-26T15:53:27Z</dcterms:modified>
</cp:coreProperties>
</file>